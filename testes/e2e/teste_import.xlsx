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Equipamentos" sheetId="2" state="visible" r:id="rId2"/>
    <sheet xmlns:r="http://schemas.openxmlformats.org/officeDocument/2006/relationships" name="Resumo" sheetId="3" state="visible" r:id="rId3"/>
    <sheet xmlns:r="http://schemas.openxmlformats.org/officeDocument/2006/relationships" name="Categorias" sheetId="4" state="visible" r:id="rId4"/>
    <sheet xmlns:r="http://schemas.openxmlformats.org/officeDocument/2006/relationships" name="Áreas e setores" sheetId="5" state="visible" r:id="rId5"/>
    <sheet xmlns:r="http://schemas.openxmlformats.org/officeDocument/2006/relationships" name="Tipos" sheetId="6" state="visible" r:id="rId6"/>
  </sheets>
  <definedNames>
    <definedName name="_xlnm._FilterDatabase" localSheetId="1" hidden="1">'Equipamentos'!$A$3:$R$303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;\-0.0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3254A"/>
      <sz val="18"/>
    </font>
    <font>
      <name val="Arial"/>
      <charset val="1"/>
      <family val="0"/>
      <color rgb="FF5B6B85"/>
      <sz val="10"/>
    </font>
    <font>
      <name val="Arial"/>
      <charset val="1"/>
      <family val="0"/>
      <b val="1"/>
      <color rgb="FF13254A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3254A"/>
      <sz val="10"/>
    </font>
    <font>
      <name val="Arial"/>
      <charset val="1"/>
      <family val="0"/>
      <b val="1"/>
      <color rgb="FF5B6B85"/>
      <sz val="10"/>
    </font>
    <font>
      <name val="Arial"/>
      <charset val="1"/>
      <family val="0"/>
      <b val="1"/>
      <color rgb="FF13254A"/>
      <sz val="16"/>
    </font>
    <font>
      <name val="Arial"/>
      <charset val="1"/>
      <family val="0"/>
      <i val="1"/>
      <color rgb="FF5B6B85"/>
      <sz val="10"/>
    </font>
    <font>
      <name val="Arial"/>
      <charset val="1"/>
      <family val="0"/>
      <color rgb="FF0F1B33"/>
      <sz val="10"/>
    </font>
    <font>
      <name val="Arial"/>
      <family val="2"/>
      <sz val="10"/>
    </font>
    <font>
      <name val="Arial"/>
      <charset val="1"/>
      <family val="0"/>
      <b val="1"/>
      <color rgb="FF13254A"/>
      <sz val="14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i val="1"/>
      <sz val="10"/>
    </font>
  </fonts>
  <fills count="7">
    <fill>
      <patternFill/>
    </fill>
    <fill>
      <patternFill patternType="gray125"/>
    </fill>
    <fill>
      <patternFill patternType="solid">
        <fgColor rgb="FFE94D10"/>
        <bgColor rgb="FF9F1D12"/>
      </patternFill>
    </fill>
    <fill>
      <patternFill patternType="solid">
        <fgColor rgb="FF13254A"/>
        <bgColor rgb="FF0F1B33"/>
      </patternFill>
    </fill>
    <fill>
      <patternFill patternType="solid">
        <fgColor rgb="FFFFF7E0"/>
        <bgColor rgb="FFFFFFFF"/>
      </patternFill>
    </fill>
    <fill>
      <patternFill patternType="solid">
        <fgColor rgb="FFEEF1F6"/>
        <bgColor rgb="FFDDF3E4"/>
      </patternFill>
    </fill>
    <fill>
      <patternFill patternType="solid">
        <fgColor rgb="FF5B6B85"/>
        <bgColor rgb="FF808080"/>
      </patternFill>
    </fill>
  </fills>
  <borders count="2">
    <border>
      <left/>
      <right/>
      <top/>
      <bottom/>
      <diagonal/>
    </border>
    <border>
      <left style="thin">
        <color rgb="FFC9D3E3"/>
      </left>
      <right style="thin">
        <color rgb="FFC9D3E3"/>
      </right>
      <top style="thin">
        <color rgb="FFC9D3E3"/>
      </top>
      <bottom style="thin">
        <color rgb="FFC9D3E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/>
    </xf>
    <xf numFmtId="0" fontId="7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general" vertical="bottom"/>
    </xf>
    <xf numFmtId="0" fontId="10" fillId="5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center" wrapText="1"/>
    </xf>
    <xf numFmtId="0" fontId="8" fillId="2" borderId="1" applyAlignment="1" pivotButton="0" quotePrefix="0" xfId="0">
      <alignment horizontal="general" vertical="center" wrapText="1"/>
    </xf>
    <xf numFmtId="0" fontId="8" fillId="6" borderId="1" applyAlignment="1" pivotButton="0" quotePrefix="0" xfId="0">
      <alignment horizontal="general" vertical="center" wrapText="1"/>
    </xf>
    <xf numFmtId="0" fontId="12" fillId="4" borderId="1" applyAlignment="1" pivotButton="0" quotePrefix="0" xfId="0">
      <alignment horizontal="general" vertical="bottom"/>
    </xf>
    <xf numFmtId="164" fontId="12" fillId="4" borderId="1" applyAlignment="1" pivotButton="0" quotePrefix="0" xfId="0">
      <alignment horizontal="general" vertical="bottom"/>
    </xf>
    <xf numFmtId="0" fontId="5" fillId="5" borderId="1" applyAlignment="1" pivotButton="0" quotePrefix="0" xfId="0">
      <alignment horizontal="general" vertical="top" wrapText="1"/>
    </xf>
    <xf numFmtId="0" fontId="13" fillId="4" borderId="1" applyAlignment="1" pivotButton="0" quotePrefix="0" xfId="0">
      <alignment horizontal="general" vertical="bottom"/>
    </xf>
    <xf numFmtId="164" fontId="13" fillId="4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6" fillId="3" borderId="0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16" fillId="3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7" fillId="0" borderId="1" applyAlignment="1" pivotButton="0" quotePrefix="0" xfId="0">
      <alignment horizontal="general" vertical="top" wrapText="1"/>
    </xf>
    <xf numFmtId="0" fontId="18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/>
    </xf>
    <xf numFmtId="0" fontId="7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general" vertical="bottom"/>
    </xf>
    <xf numFmtId="0" fontId="10" fillId="5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center" wrapText="1"/>
    </xf>
    <xf numFmtId="0" fontId="8" fillId="2" borderId="1" applyAlignment="1" pivotButton="0" quotePrefix="0" xfId="0">
      <alignment horizontal="general" vertical="center" wrapText="1"/>
    </xf>
    <xf numFmtId="0" fontId="8" fillId="6" borderId="1" applyAlignment="1" pivotButton="0" quotePrefix="0" xfId="0">
      <alignment horizontal="general" vertical="center" wrapText="1"/>
    </xf>
    <xf numFmtId="0" fontId="12" fillId="4" borderId="1" applyAlignment="1" pivotButton="0" quotePrefix="0" xfId="0">
      <alignment horizontal="general" vertical="bottom"/>
    </xf>
    <xf numFmtId="164" fontId="12" fillId="4" borderId="1" applyAlignment="1" pivotButton="0" quotePrefix="0" xfId="0">
      <alignment horizontal="general" vertical="bottom"/>
    </xf>
    <xf numFmtId="0" fontId="5" fillId="5" borderId="1" applyAlignment="1" pivotButton="0" quotePrefix="0" xfId="0">
      <alignment horizontal="general" vertical="top" wrapText="1"/>
    </xf>
    <xf numFmtId="0" fontId="13" fillId="4" borderId="1" applyAlignment="1" pivotButton="0" quotePrefix="0" xfId="0">
      <alignment horizontal="general" vertical="bottom"/>
    </xf>
    <xf numFmtId="164" fontId="13" fillId="4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6" fillId="3" borderId="0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16" fillId="3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7" fillId="0" borderId="1" applyAlignment="1" pivotButton="0" quotePrefix="0" xfId="0">
      <alignment horizontal="general" vertical="top" wrapText="1"/>
    </xf>
    <xf numFmtId="0" fontId="18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1">
    <dxf>
      <fill>
        <patternFill patternType="solid">
          <fgColor rgb="FF13254A"/>
          <bgColor rgb="FF000000"/>
        </patternFill>
      </fill>
    </dxf>
    <dxf>
      <fill>
        <patternFill patternType="solid">
          <fgColor rgb="FFFFF7E0"/>
          <bgColor rgb="FF000000"/>
        </patternFill>
      </fill>
    </dxf>
    <dxf>
      <fill>
        <patternFill patternType="solid">
          <fgColor rgb="FF0F1B33"/>
          <bgColor rgb="FF000000"/>
        </patternFill>
      </fill>
    </dxf>
    <dxf>
      <fill>
        <patternFill patternType="solid">
          <fgColor rgb="FF5B6B8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94D10"/>
          <bgColor rgb="FF000000"/>
        </patternFill>
      </fill>
    </dxf>
    <dxf>
      <fill>
        <patternFill patternType="solid">
          <fgColor rgb="FFEEF1F6"/>
          <bgColor rgb="FF000000"/>
        </patternFill>
      </fill>
    </dxf>
    <dxf>
      <fill>
        <patternFill patternType="solid">
          <fgColor rgb="FFDDF3E4"/>
          <bgColor rgb="FF000000"/>
        </patternFill>
      </fill>
    </dxf>
    <dxf>
      <fill>
        <patternFill patternType="solid">
          <fgColor rgb="FF1F7A45"/>
          <bgColor rgb="FF000000"/>
        </patternFill>
      </fill>
    </dxf>
    <dxf>
      <font>
        <name val="Arial"/>
        <charset val="1"/>
        <family val="0"/>
        <b val="1"/>
        <color rgb="FF1F7A45"/>
      </font>
      <fill>
        <patternFill>
          <bgColor rgb="FFDDF3E4"/>
        </patternFill>
      </fill>
    </dxf>
    <dxf>
      <font>
        <name val="Arial"/>
        <charset val="1"/>
        <family val="0"/>
        <b val="1"/>
        <color rgb="FF9F1D12"/>
      </font>
      <fill>
        <patternFill>
          <bgColor rgb="FFFDE3D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45"/>
      <rgbColor rgb="FFC0C0C0"/>
      <rgbColor rgb="FF808080"/>
      <rgbColor rgb="FF9999FF"/>
      <rgbColor rgb="FF993366"/>
      <rgbColor rgb="FFFFF7E0"/>
      <rgbColor rgb="FFEEF1F6"/>
      <rgbColor rgb="FF660066"/>
      <rgbColor rgb="FFFF8080"/>
      <rgbColor rgb="FF0066CC"/>
      <rgbColor rgb="FFC9D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F3E4"/>
      <rgbColor rgb="FFFFFF99"/>
      <rgbColor rgb="FF99CCFF"/>
      <rgbColor rgb="FFFF99CC"/>
      <rgbColor rgb="FFCC99FF"/>
      <rgbColor rgb="FFFDE3DF"/>
      <rgbColor rgb="FF3366FF"/>
      <rgbColor rgb="FF33CCCC"/>
      <rgbColor rgb="FF99CC00"/>
      <rgbColor rgb="FFFFCC00"/>
      <rgbColor rgb="FFFF9900"/>
      <rgbColor rgb="FFE94D10"/>
      <rgbColor rgb="FF5B6B85"/>
      <rgbColor rgb="FF969696"/>
      <rgbColor rgb="FF13254A"/>
      <rgbColor rgb="FF339966"/>
      <rgbColor rgb="FF0F1B33"/>
      <rgbColor rgb="FF333300"/>
      <rgbColor rgb="FF9F1D12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Unknown Author</author>
  </authors>
  <commentList>
    <comment ref="I3" authorId="0" shapeId="0">
      <text>
        <t>Opcional. Deixe em branco se o equipamento não tiver ou não for possível ver.</t>
      </text>
    </comment>
    <comment ref="L3" authorId="0" shapeId="0">
      <text>
        <t>Para refrigeração: faixa combinada com a nutrição (ex.: congelados −22 a −18).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C2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2" min="1" max="1"/>
    <col width="28" customWidth="1" style="32" min="2" max="2"/>
    <col width="90" customWidth="1" style="32" min="3" max="3"/>
  </cols>
  <sheetData>
    <row r="2" ht="22.05" customHeight="1" s="33">
      <c r="B2" s="34" t="inlineStr">
        <is>
          <t>Cadastro de equipamentos — RioMar Recife</t>
        </is>
      </c>
    </row>
    <row r="3" ht="15" customHeight="1" s="33">
      <c r="B3" s="35" t="inlineStr">
        <is>
          <t>Plataforma de Manutenção Entre Amigos · modelo para importação · versão 23/10/2026</t>
        </is>
      </c>
    </row>
    <row r="5" ht="49.5" customHeight="1" s="33">
      <c r="B5" s="36" t="inlineStr">
        <is>
          <t>Objetivo</t>
        </is>
      </c>
      <c r="C5" s="37" t="inlineStr">
        <is>
          <t>Cadastrar todos os equipamentos e itens da loja. Cada linha vira um equipamento no sistema, com suas preventivas criadas automaticamente pelo Tipo.</t>
        </is>
      </c>
    </row>
    <row r="6" ht="33.75" customHeight="1" s="33">
      <c r="B6" s="36" t="inlineStr">
        <is>
          <t>Onde preencher</t>
        </is>
      </c>
      <c r="C6" s="37" t="inlineStr">
        <is>
          <t>Aba Equipamentos, a partir da linha 6. As linhas 4 e 5 são exemplos: pode apagar ou sobrescrever.</t>
        </is>
      </c>
    </row>
    <row r="7" ht="33.75" customHeight="1" s="33">
      <c r="B7" s="36" t="inlineStr">
        <is>
          <t>Obrigatórios</t>
        </is>
      </c>
      <c r="C7" s="37" t="inlineStr">
        <is>
          <t>Área, Setor, Equipamento, Tipo e Categoria (cabeçalho laranja). Sem eles a linha não é importada.</t>
        </is>
      </c>
    </row>
    <row r="8" ht="49.5" customHeight="1" s="33">
      <c r="B8" s="36" t="inlineStr">
        <is>
          <t>Categoria</t>
        </is>
      </c>
      <c r="C8" s="37" t="inlineStr">
        <is>
          <t>Define onde o item aparece no chamado: ao escolher Móveis, o líder só vê móveis. A aba Tipos sugere a categoria de cada tipo; a lista fica na aba Categorias.</t>
        </is>
      </c>
    </row>
    <row r="9" ht="33.75" customHeight="1" s="33">
      <c r="B9" s="36" t="inlineStr">
        <is>
          <t>Opcionais</t>
        </is>
      </c>
      <c r="C9" s="37" t="inlineStr">
        <is>
          <t>Fabricante, Modelo, Nº de série, faixas e observações (cabeçalho azul). Nº de série NÃO é obrigatório.</t>
        </is>
      </c>
    </row>
    <row r="10" ht="33.75" customHeight="1" s="33">
      <c r="B10" s="36" t="inlineStr">
        <is>
          <t>Uma linha por item</t>
        </is>
      </c>
      <c r="C10" s="37" t="inlineStr">
        <is>
          <t>3 balcões iguais = 3 linhas, com nomes diferentes: Balcão refrigerado 01, 02 e 03.</t>
        </is>
      </c>
    </row>
    <row r="11" ht="49.5" customHeight="1" s="33">
      <c r="B11" s="36" t="inlineStr">
        <is>
          <t>Tipo</t>
        </is>
      </c>
      <c r="C11" s="37" t="inlineStr">
        <is>
          <t>Escolha na lista. Ele define as preventivas do equipamento (veja a aba Tipos). Itens sem preventiva (cadeira, aparador, tela do KDS) usam Mobiliário, TI e KDS, Predial e estrutura ou Outro equipamento: servem para abrir chamados.</t>
        </is>
      </c>
    </row>
    <row r="12" ht="49.5" customHeight="1" s="33">
      <c r="B12" s="36" t="inlineStr">
        <is>
          <t>Sistemas da loja</t>
        </is>
      </c>
      <c r="C12" s="37" t="inlineStr">
        <is>
          <t>Rede de gás, detecção de gás, alarme, gerador, brigada e similares: cadastre 1 linha por loja (Área Técnica, por exemplo).</t>
        </is>
      </c>
    </row>
    <row r="13" ht="49.5" customHeight="1" s="33">
      <c r="B13" s="36" t="inlineStr">
        <is>
          <t>Faixas</t>
        </is>
      </c>
      <c r="C13" s="37" t="inlineStr">
        <is>
          <t>Preencha só quando a coluna Faixas necessárias pedir. Use o valor do fabricante; para temperatura, o combinado com a nutrição.</t>
        </is>
      </c>
    </row>
    <row r="14" ht="33.75" customHeight="1" s="33">
      <c r="B14" s="36" t="inlineStr">
        <is>
          <t>Áreas e setores</t>
        </is>
      </c>
      <c r="C14" s="37" t="inlineStr">
        <is>
          <t>Ajuste a lista na aba Áreas e setores antes de começar. As colunas Área e Setor usam essa lista.</t>
        </is>
      </c>
    </row>
    <row r="15" ht="33.75" customHeight="1" s="33">
      <c r="B15" s="36" t="inlineStr">
        <is>
          <t>Conferência</t>
        </is>
      </c>
      <c r="C15" s="37" t="inlineStr">
        <is>
          <t>A coluna Conferência mostra OK ou o que falta. Envie a planilha só quando todas as linhas estiverem OK.</t>
        </is>
      </c>
    </row>
    <row r="17" ht="15" customHeight="1" s="33">
      <c r="B17" s="38" t="inlineStr">
        <is>
          <t>Legenda</t>
        </is>
      </c>
    </row>
    <row r="18" ht="15" customHeight="1" s="33">
      <c r="B18" s="39" t="inlineStr">
        <is>
          <t>Cabeçalho laranja = obrigatório</t>
        </is>
      </c>
    </row>
    <row r="19" ht="15" customHeight="1" s="33">
      <c r="B19" s="40" t="inlineStr">
        <is>
          <t>Cabeçalho azul = opcional</t>
        </is>
      </c>
    </row>
    <row r="20" ht="15" customHeight="1" s="33">
      <c r="B20" s="41" t="inlineStr">
        <is>
          <t>Fundo creme = célula para preencher</t>
        </is>
      </c>
    </row>
    <row r="21" ht="15" customHeight="1" s="33">
      <c r="B21" s="42" t="inlineStr">
        <is>
          <t>Fundo cinza = calculado, não editar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30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16" customWidth="1" style="32" min="1" max="1"/>
    <col width="18" customWidth="1" style="32" min="2" max="2"/>
    <col width="24" customWidth="1" style="32" min="3" max="3"/>
    <col width="30" customWidth="1" style="32" min="4" max="4"/>
    <col width="34" customWidth="1" style="32" min="5" max="5"/>
    <col width="22" customWidth="1" style="32" min="6" max="6"/>
    <col width="16" customWidth="1" style="32" min="7" max="9"/>
    <col width="11" customWidth="1" style="32" min="10" max="10"/>
    <col width="12" customWidth="1" style="32" min="11" max="11"/>
    <col width="11" customWidth="1" style="32" min="12" max="13"/>
    <col width="30" customWidth="1" style="32" min="14" max="14"/>
    <col width="48" customWidth="1" style="32" min="15" max="15"/>
    <col width="26" customWidth="1" style="32" min="16" max="16"/>
    <col width="30" customWidth="1" style="32" min="17" max="17"/>
    <col width="20" customWidth="1" style="32" min="18" max="18"/>
  </cols>
  <sheetData>
    <row r="1" ht="19.7" customHeight="1" s="33">
      <c r="A1" s="43" t="inlineStr">
        <is>
          <t>Equipamentos — RioMar Recife</t>
        </is>
      </c>
    </row>
    <row r="2" ht="15" customHeight="1" s="33">
      <c r="A2" s="35" t="inlineStr">
        <is>
          <t>Preencha a partir da linha 6. Linhas 4 e 5 são exemplos. Laranja = obrigatório; azul = opcional; cinza = calculado.</t>
        </is>
      </c>
    </row>
    <row r="3" ht="36" customHeight="1" s="33">
      <c r="A3" s="44" t="inlineStr">
        <is>
          <t>Unidade</t>
        </is>
      </c>
      <c r="B3" s="45" t="inlineStr">
        <is>
          <t>Área</t>
        </is>
      </c>
      <c r="C3" s="45" t="inlineStr">
        <is>
          <t>Setor</t>
        </is>
      </c>
      <c r="D3" s="45" t="inlineStr">
        <is>
          <t>Equipamento</t>
        </is>
      </c>
      <c r="E3" s="45" t="inlineStr">
        <is>
          <t>Tipo</t>
        </is>
      </c>
      <c r="F3" s="45" t="inlineStr">
        <is>
          <t>Categoria</t>
        </is>
      </c>
      <c r="G3" s="44" t="inlineStr">
        <is>
          <t>Fabricante</t>
        </is>
      </c>
      <c r="H3" s="44" t="inlineStr">
        <is>
          <t>Modelo</t>
        </is>
      </c>
      <c r="I3" s="44" t="inlineStr">
        <is>
          <t>Nº de série</t>
        </is>
      </c>
      <c r="J3" s="44" t="inlineStr">
        <is>
          <t>Tensão (V)</t>
        </is>
      </c>
      <c r="K3" s="44" t="inlineStr">
        <is>
          <t>Corrente nominal (A)</t>
        </is>
      </c>
      <c r="L3" s="44" t="inlineStr">
        <is>
          <t>Temp. mínima (°C)</t>
        </is>
      </c>
      <c r="M3" s="44" t="inlineStr">
        <is>
          <t>Temp. máxima (°C)</t>
        </is>
      </c>
      <c r="N3" s="44" t="inlineStr">
        <is>
          <t>Observações</t>
        </is>
      </c>
      <c r="O3" s="46" t="inlineStr">
        <is>
          <t>Preventivas que serão criadas</t>
        </is>
      </c>
      <c r="P3" s="46" t="inlineStr">
        <is>
          <t>Faixas necessárias</t>
        </is>
      </c>
      <c r="Q3" s="46" t="inlineStr">
        <is>
          <t>Conferência</t>
        </is>
      </c>
      <c r="R3" s="46" t="inlineStr">
        <is>
          <t>Família</t>
        </is>
      </c>
    </row>
    <row r="4" ht="15" customHeight="1" s="33">
      <c r="A4" s="47" t="inlineStr">
        <is>
          <t>RioMar Recife</t>
        </is>
      </c>
      <c r="B4" s="47" t="inlineStr">
        <is>
          <t>Cozinha</t>
        </is>
      </c>
      <c r="C4" s="47" t="inlineStr">
        <is>
          <t>Sobremesa</t>
        </is>
      </c>
      <c r="D4" s="47" t="inlineStr">
        <is>
          <t>Micro-ondas</t>
        </is>
      </c>
      <c r="E4" s="47" t="inlineStr">
        <is>
          <t>Outro equipamento</t>
        </is>
      </c>
      <c r="F4" s="47" t="inlineStr">
        <is>
          <t>Equipamentos de cozinha</t>
        </is>
      </c>
      <c r="G4" s="47" t="n"/>
      <c r="H4" s="47" t="n"/>
      <c r="I4" s="47" t="n"/>
      <c r="J4" s="47" t="n">
        <v>220</v>
      </c>
      <c r="K4" s="48" t="n"/>
      <c r="L4" s="48" t="n"/>
      <c r="M4" s="48" t="n"/>
      <c r="N4" s="47" t="inlineStr">
        <is>
          <t>Exemplo: item só para chamados</t>
        </is>
      </c>
      <c r="O4" s="49">
        <f>IF($E4="","",IFERROR(INDEX(Tipos!$C$5:$C$51,MATCH($E4,Tipos!$A$5:$A$51,0)),"Tipo não encontrado"))</f>
        <v/>
      </c>
      <c r="P4" s="49">
        <f>IF($E4="","",IFERROR(INDEX(Tipos!$D$5:$D$51,MATCH($E4,Tipos!$A$5:$A$51,0)),""))</f>
        <v/>
      </c>
      <c r="Q4" s="49">
        <f>IF(COUNTA($B4:$F4)=0,"",IF($B4="","Falta Área",IF($C4="","Falta Setor",IF($D4="","Falta Equipamento",IF($E4="","Falta Tipo",IF($F4="","Falta Categoria",IF(COUNTIF($D$4:$D$303,$D4)&gt;1,"Nome repetido: diferencie (01, 02…)",IF(AND(ISNUMBER(SEARCH("Temperatura",$P4)),OR($L4="",$M4="")),"Falta faixa de temperatura",IF(AND(ISNUMBER($L4),ISNUMBER($M4),$L4&gt;$M4),"Temp. mínima maior que a máxima","OK")))))))))</f>
        <v/>
      </c>
      <c r="R4" s="49">
        <f>IF($E4="","",IFERROR(INDEX(Tipos!$B$5:$B$51,MATCH($E4,Tipos!$A$5:$A$51,0)),""))</f>
        <v/>
      </c>
    </row>
    <row r="5" ht="15" customHeight="1" s="33">
      <c r="A5" s="47" t="inlineStr">
        <is>
          <t>RioMar Recife</t>
        </is>
      </c>
      <c r="B5" s="47" t="inlineStr">
        <is>
          <t>Salão</t>
        </is>
      </c>
      <c r="C5" s="47" t="inlineStr">
        <is>
          <t>Salão frente do bar</t>
        </is>
      </c>
      <c r="D5" s="47" t="inlineStr">
        <is>
          <t>Aparador</t>
        </is>
      </c>
      <c r="E5" s="47" t="inlineStr">
        <is>
          <t>Mobiliário</t>
        </is>
      </c>
      <c r="F5" s="47" t="inlineStr">
        <is>
          <t>Móveis</t>
        </is>
      </c>
      <c r="G5" s="47" t="n"/>
      <c r="H5" s="47" t="n"/>
      <c r="I5" s="47" t="n"/>
      <c r="J5" s="47" t="n"/>
      <c r="K5" s="48" t="n"/>
      <c r="L5" s="48" t="n"/>
      <c r="M5" s="48" t="n"/>
      <c r="N5" s="47" t="inlineStr">
        <is>
          <t>Exemplo: item só para chamados</t>
        </is>
      </c>
      <c r="O5" s="49">
        <f>IF($E5="","",IFERROR(INDEX(Tipos!$C$5:$C$51,MATCH($E5,Tipos!$A$5:$A$51,0)),"Tipo não encontrado"))</f>
        <v/>
      </c>
      <c r="P5" s="49">
        <f>IF($E5="","",IFERROR(INDEX(Tipos!$D$5:$D$51,MATCH($E5,Tipos!$A$5:$A$51,0)),""))</f>
        <v/>
      </c>
      <c r="Q5" s="49">
        <f>IF(COUNTA($B5:$F5)=0,"",IF($B5="","Falta Área",IF($C5="","Falta Setor",IF($D5="","Falta Equipamento",IF($E5="","Falta Tipo",IF($F5="","Falta Categoria",IF(COUNTIF($D$4:$D$303,$D5)&gt;1,"Nome repetido: diferencie (01, 02…)",IF(AND(ISNUMBER(SEARCH("Temperatura",$P5)),OR($L5="",$M5="")),"Falta faixa de temperatura",IF(AND(ISNUMBER($L5),ISNUMBER($M5),$L5&gt;$M5),"Temp. mínima maior que a máxima","OK")))))))))</f>
        <v/>
      </c>
      <c r="R5" s="49">
        <f>IF($E5="","",IFERROR(INDEX(Tipos!$B$5:$B$51,MATCH($E5,Tipos!$A$5:$A$51,0)),""))</f>
        <v/>
      </c>
    </row>
    <row r="6" ht="15" customHeight="1" s="33">
      <c r="A6" s="50" t="inlineStr">
        <is>
          <t>RioMar Recife</t>
        </is>
      </c>
      <c r="B6" s="50" t="inlineStr">
        <is>
          <t>Cozinha</t>
        </is>
      </c>
      <c r="C6" s="50" t="inlineStr">
        <is>
          <t>Cozinha quente</t>
        </is>
      </c>
      <c r="D6" s="50" t="inlineStr">
        <is>
          <t>Fritadeira a gás 01</t>
        </is>
      </c>
      <c r="E6" s="50" t="inlineStr">
        <is>
          <t>Fritadeira a gás</t>
        </is>
      </c>
      <c r="F6" s="50" t="inlineStr">
        <is>
          <t>Equipamentos de cozinha</t>
        </is>
      </c>
      <c r="G6" s="50" t="inlineStr">
        <is>
          <t>Vulcan</t>
        </is>
      </c>
      <c r="H6" s="50" t="inlineStr"/>
      <c r="I6" s="50" t="inlineStr"/>
      <c r="J6" s="50" t="n"/>
      <c r="K6" s="51" t="n"/>
      <c r="L6" s="51" t="n"/>
      <c r="M6" s="51" t="n"/>
      <c r="N6" s="50" t="n"/>
      <c r="O6" s="49">
        <f>IF($E6="","",IFERROR(INDEX(Tipos!$C$5:$C$51,MATCH($E6,Tipos!$A$5:$A$51,0)),"Tipo não encontrado"))</f>
        <v/>
      </c>
      <c r="P6" s="49">
        <f>IF($E6="","",IFERROR(INDEX(Tipos!$D$5:$D$51,MATCH($E6,Tipos!$A$5:$A$51,0)),""))</f>
        <v/>
      </c>
      <c r="Q6" s="49">
        <f>IF(COUNTA($B6:$F6)=0,"",IF($B6="","Falta Área",IF($C6="","Falta Setor",IF($D6="","Falta Equipamento",IF($E6="","Falta Tipo",IF($F6="","Falta Categoria",IF(COUNTIF($D$4:$D$303,$D6)&gt;1,"Nome repetido: diferencie (01, 02…)",IF(AND(ISNUMBER(SEARCH("Temperatura",$P6)),OR($L6="",$M6="")),"Falta faixa de temperatura",IF(AND(ISNUMBER($L6),ISNUMBER($M6),$L6&gt;$M6),"Temp. mínima maior que a máxima","OK")))))))))</f>
        <v/>
      </c>
      <c r="R6" s="49">
        <f>IF($E6="","",IFERROR(INDEX(Tipos!$B$5:$B$51,MATCH($E6,Tipos!$A$5:$A$51,0)),""))</f>
        <v/>
      </c>
    </row>
    <row r="7" ht="15" customHeight="1" s="33">
      <c r="A7" s="50" t="inlineStr">
        <is>
          <t>RioMar Recife</t>
        </is>
      </c>
      <c r="B7" s="50" t="inlineStr">
        <is>
          <t>Estoque</t>
        </is>
      </c>
      <c r="C7" s="50" t="inlineStr">
        <is>
          <t>Câmaras frias</t>
        </is>
      </c>
      <c r="D7" s="50" t="inlineStr">
        <is>
          <t>Câmara de congelados 01</t>
        </is>
      </c>
      <c r="E7" s="50" t="inlineStr">
        <is>
          <t>Câmara frigorífica</t>
        </is>
      </c>
      <c r="F7" s="50" t="inlineStr">
        <is>
          <t>Refrigeração</t>
        </is>
      </c>
      <c r="G7" s="50" t="inlineStr">
        <is>
          <t>Frigelar</t>
        </is>
      </c>
      <c r="H7" s="50" t="inlineStr"/>
      <c r="I7" s="50" t="inlineStr"/>
      <c r="J7" s="50" t="n">
        <v>220</v>
      </c>
      <c r="K7" s="51" t="n">
        <v>12</v>
      </c>
      <c r="L7" s="51" t="n">
        <v>-22</v>
      </c>
      <c r="M7" s="51" t="n">
        <v>-18</v>
      </c>
      <c r="N7" s="50" t="n"/>
      <c r="O7" s="49">
        <f>IF($E7="","",IFERROR(INDEX(Tipos!$C$5:$C$51,MATCH($E7,Tipos!$A$5:$A$51,0)),"Tipo não encontrado"))</f>
        <v/>
      </c>
      <c r="P7" s="49">
        <f>IF($E7="","",IFERROR(INDEX(Tipos!$D$5:$D$51,MATCH($E7,Tipos!$A$5:$A$51,0)),""))</f>
        <v/>
      </c>
      <c r="Q7" s="49">
        <f>IF(COUNTA($B7:$F7)=0,"",IF($B7="","Falta Área",IF($C7="","Falta Setor",IF($D7="","Falta Equipamento",IF($E7="","Falta Tipo",IF($F7="","Falta Categoria",IF(COUNTIF($D$4:$D$303,$D7)&gt;1,"Nome repetido: diferencie (01, 02…)",IF(AND(ISNUMBER(SEARCH("Temperatura",$P7)),OR($L7="",$M7="")),"Falta faixa de temperatura",IF(AND(ISNUMBER($L7),ISNUMBER($M7),$L7&gt;$M7),"Temp. mínima maior que a máxima","OK")))))))))</f>
        <v/>
      </c>
      <c r="R7" s="49">
        <f>IF($E7="","",IFERROR(INDEX(Tipos!$B$5:$B$51,MATCH($E7,Tipos!$A$5:$A$51,0)),""))</f>
        <v/>
      </c>
    </row>
    <row r="8" ht="15" customHeight="1" s="33">
      <c r="A8" s="50" t="inlineStr">
        <is>
          <t>RioMar Recife</t>
        </is>
      </c>
      <c r="B8" s="50" t="inlineStr">
        <is>
          <t>Cozinha</t>
        </is>
      </c>
      <c r="C8" s="50" t="inlineStr">
        <is>
          <t>Cozinha quente</t>
        </is>
      </c>
      <c r="D8" s="50" t="inlineStr">
        <is>
          <t>Coifa convencional 01</t>
        </is>
      </c>
      <c r="E8" s="50" t="inlineStr">
        <is>
          <t>Coifa convencional</t>
        </is>
      </c>
      <c r="F8" s="50" t="inlineStr">
        <is>
          <t>Exaustão</t>
        </is>
      </c>
      <c r="G8" s="50" t="inlineStr"/>
      <c r="H8" s="50" t="inlineStr"/>
      <c r="I8" s="50" t="inlineStr"/>
      <c r="J8" s="50" t="n"/>
      <c r="K8" s="51" t="n"/>
      <c r="L8" s="51" t="n"/>
      <c r="M8" s="51" t="n"/>
      <c r="N8" s="50" t="n"/>
      <c r="O8" s="49">
        <f>IF($E8="","",IFERROR(INDEX(Tipos!$C$5:$C$51,MATCH($E8,Tipos!$A$5:$A$51,0)),"Tipo não encontrado"))</f>
        <v/>
      </c>
      <c r="P8" s="49">
        <f>IF($E8="","",IFERROR(INDEX(Tipos!$D$5:$D$51,MATCH($E8,Tipos!$A$5:$A$51,0)),""))</f>
        <v/>
      </c>
      <c r="Q8" s="49">
        <f>IF(COUNTA($B8:$F8)=0,"",IF($B8="","Falta Área",IF($C8="","Falta Setor",IF($D8="","Falta Equipamento",IF($E8="","Falta Tipo",IF($F8="","Falta Categoria",IF(COUNTIF($D$4:$D$303,$D8)&gt;1,"Nome repetido: diferencie (01, 02…)",IF(AND(ISNUMBER(SEARCH("Temperatura",$P8)),OR($L8="",$M8="")),"Falta faixa de temperatura",IF(AND(ISNUMBER($L8),ISNUMBER($M8),$L8&gt;$M8),"Temp. mínima maior que a máxima","OK")))))))))</f>
        <v/>
      </c>
      <c r="R8" s="49">
        <f>IF($E8="","",IFERROR(INDEX(Tipos!$B$5:$B$51,MATCH($E8,Tipos!$A$5:$A$51,0)),""))</f>
        <v/>
      </c>
    </row>
    <row r="9" ht="15" customHeight="1" s="33">
      <c r="A9" s="50" t="inlineStr">
        <is>
          <t>RioMar Recife</t>
        </is>
      </c>
      <c r="B9" s="50" t="inlineStr">
        <is>
          <t>Cozinha</t>
        </is>
      </c>
      <c r="C9" s="50" t="inlineStr">
        <is>
          <t>Sobremesa</t>
        </is>
      </c>
      <c r="D9" s="50" t="inlineStr">
        <is>
          <t>Micro-ondas</t>
        </is>
      </c>
      <c r="E9" s="50" t="inlineStr">
        <is>
          <t>Outro equipamento</t>
        </is>
      </c>
      <c r="F9" s="50" t="inlineStr">
        <is>
          <t>Equipamentos de cozinha</t>
        </is>
      </c>
      <c r="G9" s="50" t="inlineStr">
        <is>
          <t>Electrolux</t>
        </is>
      </c>
      <c r="H9" s="50" t="inlineStr"/>
      <c r="I9" s="50" t="inlineStr"/>
      <c r="J9" s="50" t="n">
        <v>220</v>
      </c>
      <c r="K9" s="51" t="n"/>
      <c r="L9" s="51" t="n"/>
      <c r="M9" s="51" t="n"/>
      <c r="N9" s="50" t="n"/>
      <c r="O9" s="49">
        <f>IF($E9="","",IFERROR(INDEX(Tipos!$C$5:$C$51,MATCH($E9,Tipos!$A$5:$A$51,0)),"Tipo não encontrado"))</f>
        <v/>
      </c>
      <c r="P9" s="49">
        <f>IF($E9="","",IFERROR(INDEX(Tipos!$D$5:$D$51,MATCH($E9,Tipos!$A$5:$A$51,0)),""))</f>
        <v/>
      </c>
      <c r="Q9" s="49">
        <f>IF(COUNTA($B9:$F9)=0,"",IF($B9="","Falta Área",IF($C9="","Falta Setor",IF($D9="","Falta Equipamento",IF($E9="","Falta Tipo",IF($F9="","Falta Categoria",IF(COUNTIF($D$4:$D$303,$D9)&gt;1,"Nome repetido: diferencie (01, 02…)",IF(AND(ISNUMBER(SEARCH("Temperatura",$P9)),OR($L9="",$M9="")),"Falta faixa de temperatura",IF(AND(ISNUMBER($L9),ISNUMBER($M9),$L9&gt;$M9),"Temp. mínima maior que a máxima","OK")))))))))</f>
        <v/>
      </c>
      <c r="R9" s="49">
        <f>IF($E9="","",IFERROR(INDEX(Tipos!$B$5:$B$51,MATCH($E9,Tipos!$A$5:$A$51,0)),""))</f>
        <v/>
      </c>
    </row>
    <row r="10" ht="15" customHeight="1" s="33">
      <c r="A10" s="50" t="inlineStr">
        <is>
          <t>RioMar Recife</t>
        </is>
      </c>
      <c r="B10" s="50" t="inlineStr">
        <is>
          <t>Salão</t>
        </is>
      </c>
      <c r="C10" s="50" t="inlineStr">
        <is>
          <t>Salão frente do bar</t>
        </is>
      </c>
      <c r="D10" s="50" t="inlineStr">
        <is>
          <t>Aparador</t>
        </is>
      </c>
      <c r="E10" s="50" t="inlineStr">
        <is>
          <t>Mobiliário</t>
        </is>
      </c>
      <c r="F10" s="50" t="inlineStr">
        <is>
          <t>Móveis</t>
        </is>
      </c>
      <c r="G10" s="50" t="inlineStr"/>
      <c r="H10" s="50" t="inlineStr"/>
      <c r="I10" s="50" t="inlineStr"/>
      <c r="J10" s="50" t="n"/>
      <c r="K10" s="51" t="n"/>
      <c r="L10" s="51" t="n"/>
      <c r="M10" s="51" t="n"/>
      <c r="N10" s="50" t="n"/>
      <c r="O10" s="49">
        <f>IF($E10="","",IFERROR(INDEX(Tipos!$C$5:$C$51,MATCH($E10,Tipos!$A$5:$A$51,0)),"Tipo não encontrado"))</f>
        <v/>
      </c>
      <c r="P10" s="49">
        <f>IF($E10="","",IFERROR(INDEX(Tipos!$D$5:$D$51,MATCH($E10,Tipos!$A$5:$A$51,0)),""))</f>
        <v/>
      </c>
      <c r="Q10" s="49">
        <f>IF(COUNTA($B10:$F10)=0,"",IF($B10="","Falta Área",IF($C10="","Falta Setor",IF($D10="","Falta Equipamento",IF($E10="","Falta Tipo",IF($F10="","Falta Categoria",IF(COUNTIF($D$4:$D$303,$D10)&gt;1,"Nome repetido: diferencie (01, 02…)",IF(AND(ISNUMBER(SEARCH("Temperatura",$P10)),OR($L10="",$M10="")),"Falta faixa de temperatura",IF(AND(ISNUMBER($L10),ISNUMBER($M10),$L10&gt;$M10),"Temp. mínima maior que a máxima","OK")))))))))</f>
        <v/>
      </c>
      <c r="R10" s="49">
        <f>IF($E10="","",IFERROR(INDEX(Tipos!$B$5:$B$51,MATCH($E10,Tipos!$A$5:$A$51,0)),""))</f>
        <v/>
      </c>
    </row>
    <row r="11" ht="15" customHeight="1" s="33">
      <c r="A11" s="50" t="inlineStr">
        <is>
          <t>RioMar Recife</t>
        </is>
      </c>
      <c r="B11" s="50" t="inlineStr">
        <is>
          <t>Cozinha</t>
        </is>
      </c>
      <c r="C11" s="50" t="inlineStr">
        <is>
          <t>Cozinha quente</t>
        </is>
      </c>
      <c r="D11" s="50" t="inlineStr">
        <is>
          <t>Extintor PQS 01</t>
        </is>
      </c>
      <c r="E11" s="50" t="inlineStr">
        <is>
          <t>Extintor</t>
        </is>
      </c>
      <c r="F11" s="50" t="inlineStr">
        <is>
          <t>Segurança</t>
        </is>
      </c>
      <c r="G11" s="50" t="inlineStr"/>
      <c r="H11" s="50" t="inlineStr"/>
      <c r="I11" s="50" t="inlineStr"/>
      <c r="J11" s="50" t="n"/>
      <c r="K11" s="51" t="n"/>
      <c r="L11" s="51" t="n"/>
      <c r="M11" s="51" t="n"/>
      <c r="N11" s="50" t="n"/>
      <c r="O11" s="49">
        <f>IF($E11="","",IFERROR(INDEX(Tipos!$C$5:$C$51,MATCH($E11,Tipos!$A$5:$A$51,0)),"Tipo não encontrado"))</f>
        <v/>
      </c>
      <c r="P11" s="49">
        <f>IF($E11="","",IFERROR(INDEX(Tipos!$D$5:$D$51,MATCH($E11,Tipos!$A$5:$A$51,0)),""))</f>
        <v/>
      </c>
      <c r="Q11" s="49">
        <f>IF(COUNTA($B11:$F11)=0,"",IF($B11="","Falta Área",IF($C11="","Falta Setor",IF($D11="","Falta Equipamento",IF($E11="","Falta Tipo",IF($F11="","Falta Categoria",IF(COUNTIF($D$4:$D$303,$D11)&gt;1,"Nome repetido: diferencie (01, 02…)",IF(AND(ISNUMBER(SEARCH("Temperatura",$P11)),OR($L11="",$M11="")),"Falta faixa de temperatura",IF(AND(ISNUMBER($L11),ISNUMBER($M11),$L11&gt;$M11),"Temp. mínima maior que a máxima","OK")))))))))</f>
        <v/>
      </c>
      <c r="R11" s="49">
        <f>IF($E11="","",IFERROR(INDEX(Tipos!$B$5:$B$51,MATCH($E11,Tipos!$A$5:$A$51,0)),""))</f>
        <v/>
      </c>
    </row>
    <row r="12" ht="15" customHeight="1" s="33">
      <c r="A12" s="50" t="inlineStr">
        <is>
          <t>RioMar Recife</t>
        </is>
      </c>
      <c r="B12" s="50" t="inlineStr">
        <is>
          <t>Salão</t>
        </is>
      </c>
      <c r="C12" s="50" t="inlineStr">
        <is>
          <t>Salão principal</t>
        </is>
      </c>
      <c r="D12" s="50" t="inlineStr">
        <is>
          <t>Ar-condicionado salão 2</t>
        </is>
      </c>
      <c r="E12" s="50" t="inlineStr">
        <is>
          <t>Ar-condicionado split (hi-wall)</t>
        </is>
      </c>
      <c r="F12" s="50" t="inlineStr">
        <is>
          <t>Climatização</t>
        </is>
      </c>
      <c r="G12" s="50" t="inlineStr">
        <is>
          <t>Springer</t>
        </is>
      </c>
      <c r="H12" s="50" t="inlineStr"/>
      <c r="I12" s="50" t="inlineStr"/>
      <c r="J12" s="50" t="n">
        <v>220</v>
      </c>
      <c r="K12" s="51" t="n">
        <v>8</v>
      </c>
      <c r="L12" s="51" t="n"/>
      <c r="M12" s="51" t="n"/>
      <c r="N12" s="50" t="n"/>
      <c r="O12" s="49">
        <f>IF($E12="","",IFERROR(INDEX(Tipos!$C$5:$C$51,MATCH($E12,Tipos!$A$5:$A$51,0)),"Tipo não encontrado"))</f>
        <v/>
      </c>
      <c r="P12" s="49">
        <f>IF($E12="","",IFERROR(INDEX(Tipos!$D$5:$D$51,MATCH($E12,Tipos!$A$5:$A$51,0)),""))</f>
        <v/>
      </c>
      <c r="Q12" s="49">
        <f>IF(COUNTA($B12:$F12)=0,"",IF($B12="","Falta Área",IF($C12="","Falta Setor",IF($D12="","Falta Equipamento",IF($E12="","Falta Tipo",IF($F12="","Falta Categoria",IF(COUNTIF($D$4:$D$303,$D12)&gt;1,"Nome repetido: diferencie (01, 02…)",IF(AND(ISNUMBER(SEARCH("Temperatura",$P12)),OR($L12="",$M12="")),"Falta faixa de temperatura",IF(AND(ISNUMBER($L12),ISNUMBER($M12),$L12&gt;$M12),"Temp. mínima maior que a máxima","OK")))))))))</f>
        <v/>
      </c>
      <c r="R12" s="49">
        <f>IF($E12="","",IFERROR(INDEX(Tipos!$B$5:$B$51,MATCH($E12,Tipos!$A$5:$A$51,0)),""))</f>
        <v/>
      </c>
    </row>
    <row r="13" ht="15" customHeight="1" s="33">
      <c r="A13" s="50" t="inlineStr">
        <is>
          <t>RioMar Recife</t>
        </is>
      </c>
      <c r="B13" s="50" t="inlineStr">
        <is>
          <t>Área técnica</t>
        </is>
      </c>
      <c r="C13" s="50" t="inlineStr">
        <is>
          <t>Casa de máquinas</t>
        </is>
      </c>
      <c r="D13" s="50" t="inlineStr">
        <is>
          <t>Detecção de gás</t>
        </is>
      </c>
      <c r="E13" s="50" t="inlineStr">
        <is>
          <t>Sistema de detecção de gás</t>
        </is>
      </c>
      <c r="F13" s="50" t="inlineStr">
        <is>
          <t>Segurança</t>
        </is>
      </c>
      <c r="G13" s="50" t="inlineStr"/>
      <c r="H13" s="50" t="inlineStr"/>
      <c r="I13" s="50" t="inlineStr"/>
      <c r="J13" s="50" t="n"/>
      <c r="K13" s="51" t="n"/>
      <c r="L13" s="51" t="n"/>
      <c r="M13" s="51" t="n"/>
      <c r="N13" s="50" t="n"/>
      <c r="O13" s="49">
        <f>IF($E13="","",IFERROR(INDEX(Tipos!$C$5:$C$51,MATCH($E13,Tipos!$A$5:$A$51,0)),"Tipo não encontrado"))</f>
        <v/>
      </c>
      <c r="P13" s="49">
        <f>IF($E13="","",IFERROR(INDEX(Tipos!$D$5:$D$51,MATCH($E13,Tipos!$A$5:$A$51,0)),""))</f>
        <v/>
      </c>
      <c r="Q13" s="49">
        <f>IF(COUNTA($B13:$F13)=0,"",IF($B13="","Falta Área",IF($C13="","Falta Setor",IF($D13="","Falta Equipamento",IF($E13="","Falta Tipo",IF($F13="","Falta Categoria",IF(COUNTIF($D$4:$D$303,$D13)&gt;1,"Nome repetido: diferencie (01, 02…)",IF(AND(ISNUMBER(SEARCH("Temperatura",$P13)),OR($L13="",$M13="")),"Falta faixa de temperatura",IF(AND(ISNUMBER($L13),ISNUMBER($M13),$L13&gt;$M13),"Temp. mínima maior que a máxima","OK")))))))))</f>
        <v/>
      </c>
      <c r="R13" s="49">
        <f>IF($E13="","",IFERROR(INDEX(Tipos!$B$5:$B$51,MATCH($E13,Tipos!$A$5:$A$51,0)),""))</f>
        <v/>
      </c>
    </row>
    <row r="14" ht="15" customHeight="1" s="33">
      <c r="A14" s="50" t="inlineStr">
        <is>
          <t>RioMar Recife</t>
        </is>
      </c>
      <c r="B14" s="50" t="inlineStr">
        <is>
          <t>Salão</t>
        </is>
      </c>
      <c r="C14" s="50" t="inlineStr">
        <is>
          <t>Salão principal</t>
        </is>
      </c>
      <c r="D14" s="50" t="inlineStr">
        <is>
          <t>Cadeiras</t>
        </is>
      </c>
      <c r="E14" s="50" t="inlineStr">
        <is>
          <t>Mobiliário</t>
        </is>
      </c>
      <c r="F14" s="50" t="inlineStr">
        <is>
          <t>Móveis</t>
        </is>
      </c>
      <c r="G14" s="50" t="inlineStr"/>
      <c r="H14" s="50" t="inlineStr"/>
      <c r="I14" s="50" t="inlineStr"/>
      <c r="J14" s="50" t="n"/>
      <c r="K14" s="51" t="n"/>
      <c r="L14" s="51" t="n"/>
      <c r="M14" s="51" t="n"/>
      <c r="N14" s="50" t="n"/>
      <c r="O14" s="49">
        <f>IF($E14="","",IFERROR(INDEX(Tipos!$C$5:$C$51,MATCH($E14,Tipos!$A$5:$A$51,0)),"Tipo não encontrado"))</f>
        <v/>
      </c>
      <c r="P14" s="49">
        <f>IF($E14="","",IFERROR(INDEX(Tipos!$D$5:$D$51,MATCH($E14,Tipos!$A$5:$A$51,0)),""))</f>
        <v/>
      </c>
      <c r="Q14" s="49">
        <f>IF(COUNTA($B14:$F14)=0,"",IF($B14="","Falta Área",IF($C14="","Falta Setor",IF($D14="","Falta Equipamento",IF($E14="","Falta Tipo",IF($F14="","Falta Categoria",IF(COUNTIF($D$4:$D$303,$D14)&gt;1,"Nome repetido: diferencie (01, 02…)",IF(AND(ISNUMBER(SEARCH("Temperatura",$P14)),OR($L14="",$M14="")),"Falta faixa de temperatura",IF(AND(ISNUMBER($L14),ISNUMBER($M14),$L14&gt;$M14),"Temp. mínima maior que a máxima","OK")))))))))</f>
        <v/>
      </c>
      <c r="R14" s="49">
        <f>IF($E14="","",IFERROR(INDEX(Tipos!$B$5:$B$51,MATCH($E14,Tipos!$A$5:$A$51,0)),""))</f>
        <v/>
      </c>
    </row>
    <row r="15" ht="15" customHeight="1" s="33">
      <c r="A15" s="50" t="inlineStr">
        <is>
          <t>RioMar Recife</t>
        </is>
      </c>
      <c r="B15" s="50" t="n"/>
      <c r="C15" s="50" t="n"/>
      <c r="D15" s="50" t="n"/>
      <c r="E15" s="50" t="n"/>
      <c r="F15" s="50" t="n"/>
      <c r="G15" s="50" t="n"/>
      <c r="H15" s="50" t="n"/>
      <c r="I15" s="50" t="n"/>
      <c r="J15" s="50" t="n"/>
      <c r="K15" s="51" t="n"/>
      <c r="L15" s="51" t="n"/>
      <c r="M15" s="51" t="n"/>
      <c r="N15" s="50" t="n"/>
      <c r="O15" s="49">
        <f>IF($E15="","",IFERROR(INDEX(Tipos!$C$5:$C$51,MATCH($E15,Tipos!$A$5:$A$51,0)),"Tipo não encontrado"))</f>
        <v/>
      </c>
      <c r="P15" s="49">
        <f>IF($E15="","",IFERROR(INDEX(Tipos!$D$5:$D$51,MATCH($E15,Tipos!$A$5:$A$51,0)),""))</f>
        <v/>
      </c>
      <c r="Q15" s="49">
        <f>IF(COUNTA($B15:$F15)=0,"",IF($B15="","Falta Área",IF($C15="","Falta Setor",IF($D15="","Falta Equipamento",IF($E15="","Falta Tipo",IF($F15="","Falta Categoria",IF(COUNTIF($D$4:$D$303,$D15)&gt;1,"Nome repetido: diferencie (01, 02…)",IF(AND(ISNUMBER(SEARCH("Temperatura",$P15)),OR($L15="",$M15="")),"Falta faixa de temperatura",IF(AND(ISNUMBER($L15),ISNUMBER($M15),$L15&gt;$M15),"Temp. mínima maior que a máxima","OK")))))))))</f>
        <v/>
      </c>
      <c r="R15" s="49">
        <f>IF($E15="","",IFERROR(INDEX(Tipos!$B$5:$B$51,MATCH($E15,Tipos!$A$5:$A$51,0)),""))</f>
        <v/>
      </c>
    </row>
    <row r="16" ht="15" customHeight="1" s="33">
      <c r="A16" s="50" t="inlineStr">
        <is>
          <t>RioMar Recife</t>
        </is>
      </c>
      <c r="B16" s="50" t="n"/>
      <c r="C16" s="50" t="n"/>
      <c r="D16" s="50" t="n"/>
      <c r="E16" s="50" t="n"/>
      <c r="F16" s="50" t="n"/>
      <c r="G16" s="50" t="n"/>
      <c r="H16" s="50" t="n"/>
      <c r="I16" s="50" t="n"/>
      <c r="J16" s="50" t="n"/>
      <c r="K16" s="51" t="n"/>
      <c r="L16" s="51" t="n"/>
      <c r="M16" s="51" t="n"/>
      <c r="N16" s="50" t="n"/>
      <c r="O16" s="49">
        <f>IF($E16="","",IFERROR(INDEX(Tipos!$C$5:$C$51,MATCH($E16,Tipos!$A$5:$A$51,0)),"Tipo não encontrado"))</f>
        <v/>
      </c>
      <c r="P16" s="49">
        <f>IF($E16="","",IFERROR(INDEX(Tipos!$D$5:$D$51,MATCH($E16,Tipos!$A$5:$A$51,0)),""))</f>
        <v/>
      </c>
      <c r="Q16" s="49">
        <f>IF(COUNTA($B16:$F16)=0,"",IF($B16="","Falta Área",IF($C16="","Falta Setor",IF($D16="","Falta Equipamento",IF($E16="","Falta Tipo",IF($F16="","Falta Categoria",IF(COUNTIF($D$4:$D$303,$D16)&gt;1,"Nome repetido: diferencie (01, 02…)",IF(AND(ISNUMBER(SEARCH("Temperatura",$P16)),OR($L16="",$M16="")),"Falta faixa de temperatura",IF(AND(ISNUMBER($L16),ISNUMBER($M16),$L16&gt;$M16),"Temp. mínima maior que a máxima","OK")))))))))</f>
        <v/>
      </c>
      <c r="R16" s="49">
        <f>IF($E16="","",IFERROR(INDEX(Tipos!$B$5:$B$51,MATCH($E16,Tipos!$A$5:$A$51,0)),""))</f>
        <v/>
      </c>
    </row>
    <row r="17" ht="15" customHeight="1" s="33">
      <c r="A17" s="50" t="inlineStr">
        <is>
          <t>RioMar Recife</t>
        </is>
      </c>
      <c r="B17" s="50" t="n"/>
      <c r="C17" s="50" t="n"/>
      <c r="D17" s="50" t="n"/>
      <c r="E17" s="50" t="n"/>
      <c r="F17" s="50" t="n"/>
      <c r="G17" s="50" t="n"/>
      <c r="H17" s="50" t="n"/>
      <c r="I17" s="50" t="n"/>
      <c r="J17" s="50" t="n"/>
      <c r="K17" s="51" t="n"/>
      <c r="L17" s="51" t="n"/>
      <c r="M17" s="51" t="n"/>
      <c r="N17" s="50" t="n"/>
      <c r="O17" s="49">
        <f>IF($E17="","",IFERROR(INDEX(Tipos!$C$5:$C$51,MATCH($E17,Tipos!$A$5:$A$51,0)),"Tipo não encontrado"))</f>
        <v/>
      </c>
      <c r="P17" s="49">
        <f>IF($E17="","",IFERROR(INDEX(Tipos!$D$5:$D$51,MATCH($E17,Tipos!$A$5:$A$51,0)),""))</f>
        <v/>
      </c>
      <c r="Q17" s="49">
        <f>IF(COUNTA($B17:$F17)=0,"",IF($B17="","Falta Área",IF($C17="","Falta Setor",IF($D17="","Falta Equipamento",IF($E17="","Falta Tipo",IF($F17="","Falta Categoria",IF(COUNTIF($D$4:$D$303,$D17)&gt;1,"Nome repetido: diferencie (01, 02…)",IF(AND(ISNUMBER(SEARCH("Temperatura",$P17)),OR($L17="",$M17="")),"Falta faixa de temperatura",IF(AND(ISNUMBER($L17),ISNUMBER($M17),$L17&gt;$M17),"Temp. mínima maior que a máxima","OK")))))))))</f>
        <v/>
      </c>
      <c r="R17" s="49">
        <f>IF($E17="","",IFERROR(INDEX(Tipos!$B$5:$B$51,MATCH($E17,Tipos!$A$5:$A$51,0)),""))</f>
        <v/>
      </c>
    </row>
    <row r="18" ht="15" customHeight="1" s="33">
      <c r="A18" s="50" t="inlineStr">
        <is>
          <t>RioMar Recife</t>
        </is>
      </c>
      <c r="B18" s="50" t="n"/>
      <c r="C18" s="50" t="n"/>
      <c r="D18" s="50" t="n"/>
      <c r="E18" s="50" t="n"/>
      <c r="F18" s="50" t="n"/>
      <c r="G18" s="50" t="n"/>
      <c r="H18" s="50" t="n"/>
      <c r="I18" s="50" t="n"/>
      <c r="J18" s="50" t="n"/>
      <c r="K18" s="51" t="n"/>
      <c r="L18" s="51" t="n"/>
      <c r="M18" s="51" t="n"/>
      <c r="N18" s="50" t="n"/>
      <c r="O18" s="49">
        <f>IF($E18="","",IFERROR(INDEX(Tipos!$C$5:$C$51,MATCH($E18,Tipos!$A$5:$A$51,0)),"Tipo não encontrado"))</f>
        <v/>
      </c>
      <c r="P18" s="49">
        <f>IF($E18="","",IFERROR(INDEX(Tipos!$D$5:$D$51,MATCH($E18,Tipos!$A$5:$A$51,0)),""))</f>
        <v/>
      </c>
      <c r="Q18" s="49">
        <f>IF(COUNTA($B18:$F18)=0,"",IF($B18="","Falta Área",IF($C18="","Falta Setor",IF($D18="","Falta Equipamento",IF($E18="","Falta Tipo",IF($F18="","Falta Categoria",IF(COUNTIF($D$4:$D$303,$D18)&gt;1,"Nome repetido: diferencie (01, 02…)",IF(AND(ISNUMBER(SEARCH("Temperatura",$P18)),OR($L18="",$M18="")),"Falta faixa de temperatura",IF(AND(ISNUMBER($L18),ISNUMBER($M18),$L18&gt;$M18),"Temp. mínima maior que a máxima","OK")))))))))</f>
        <v/>
      </c>
      <c r="R18" s="49">
        <f>IF($E18="","",IFERROR(INDEX(Tipos!$B$5:$B$51,MATCH($E18,Tipos!$A$5:$A$51,0)),""))</f>
        <v/>
      </c>
    </row>
    <row r="19" ht="15" customHeight="1" s="33">
      <c r="A19" s="50" t="inlineStr">
        <is>
          <t>RioMar Recife</t>
        </is>
      </c>
      <c r="B19" s="50" t="n"/>
      <c r="C19" s="50" t="n"/>
      <c r="D19" s="50" t="n"/>
      <c r="E19" s="50" t="n"/>
      <c r="F19" s="50" t="n"/>
      <c r="G19" s="50" t="n"/>
      <c r="H19" s="50" t="n"/>
      <c r="I19" s="50" t="n"/>
      <c r="J19" s="50" t="n"/>
      <c r="K19" s="51" t="n"/>
      <c r="L19" s="51" t="n"/>
      <c r="M19" s="51" t="n"/>
      <c r="N19" s="50" t="n"/>
      <c r="O19" s="49">
        <f>IF($E19="","",IFERROR(INDEX(Tipos!$C$5:$C$51,MATCH($E19,Tipos!$A$5:$A$51,0)),"Tipo não encontrado"))</f>
        <v/>
      </c>
      <c r="P19" s="49">
        <f>IF($E19="","",IFERROR(INDEX(Tipos!$D$5:$D$51,MATCH($E19,Tipos!$A$5:$A$51,0)),""))</f>
        <v/>
      </c>
      <c r="Q19" s="49">
        <f>IF(COUNTA($B19:$F19)=0,"",IF($B19="","Falta Área",IF($C19="","Falta Setor",IF($D19="","Falta Equipamento",IF($E19="","Falta Tipo",IF($F19="","Falta Categoria",IF(COUNTIF($D$4:$D$303,$D19)&gt;1,"Nome repetido: diferencie (01, 02…)",IF(AND(ISNUMBER(SEARCH("Temperatura",$P19)),OR($L19="",$M19="")),"Falta faixa de temperatura",IF(AND(ISNUMBER($L19),ISNUMBER($M19),$L19&gt;$M19),"Temp. mínima maior que a máxima","OK")))))))))</f>
        <v/>
      </c>
      <c r="R19" s="49">
        <f>IF($E19="","",IFERROR(INDEX(Tipos!$B$5:$B$51,MATCH($E19,Tipos!$A$5:$A$51,0)),""))</f>
        <v/>
      </c>
    </row>
    <row r="20" ht="15" customHeight="1" s="33">
      <c r="A20" s="50" t="inlineStr">
        <is>
          <t>RioMar Recife</t>
        </is>
      </c>
      <c r="B20" s="50" t="n"/>
      <c r="C20" s="50" t="n"/>
      <c r="D20" s="50" t="n"/>
      <c r="E20" s="50" t="n"/>
      <c r="F20" s="50" t="n"/>
      <c r="G20" s="50" t="n"/>
      <c r="H20" s="50" t="n"/>
      <c r="I20" s="50" t="n"/>
      <c r="J20" s="50" t="n"/>
      <c r="K20" s="51" t="n"/>
      <c r="L20" s="51" t="n"/>
      <c r="M20" s="51" t="n"/>
      <c r="N20" s="50" t="n"/>
      <c r="O20" s="49">
        <f>IF($E20="","",IFERROR(INDEX(Tipos!$C$5:$C$51,MATCH($E20,Tipos!$A$5:$A$51,0)),"Tipo não encontrado"))</f>
        <v/>
      </c>
      <c r="P20" s="49">
        <f>IF($E20="","",IFERROR(INDEX(Tipos!$D$5:$D$51,MATCH($E20,Tipos!$A$5:$A$51,0)),""))</f>
        <v/>
      </c>
      <c r="Q20" s="49">
        <f>IF(COUNTA($B20:$F20)=0,"",IF($B20="","Falta Área",IF($C20="","Falta Setor",IF($D20="","Falta Equipamento",IF($E20="","Falta Tipo",IF($F20="","Falta Categoria",IF(COUNTIF($D$4:$D$303,$D20)&gt;1,"Nome repetido: diferencie (01, 02…)",IF(AND(ISNUMBER(SEARCH("Temperatura",$P20)),OR($L20="",$M20="")),"Falta faixa de temperatura",IF(AND(ISNUMBER($L20),ISNUMBER($M20),$L20&gt;$M20),"Temp. mínima maior que a máxima","OK")))))))))</f>
        <v/>
      </c>
      <c r="R20" s="49">
        <f>IF($E20="","",IFERROR(INDEX(Tipos!$B$5:$B$51,MATCH($E20,Tipos!$A$5:$A$51,0)),""))</f>
        <v/>
      </c>
    </row>
    <row r="21" ht="15" customHeight="1" s="33">
      <c r="A21" s="50" t="inlineStr">
        <is>
          <t>RioMar Recife</t>
        </is>
      </c>
      <c r="B21" s="50" t="n"/>
      <c r="C21" s="50" t="n"/>
      <c r="D21" s="50" t="n"/>
      <c r="E21" s="50" t="n"/>
      <c r="F21" s="50" t="n"/>
      <c r="G21" s="50" t="n"/>
      <c r="H21" s="50" t="n"/>
      <c r="I21" s="50" t="n"/>
      <c r="J21" s="50" t="n"/>
      <c r="K21" s="51" t="n"/>
      <c r="L21" s="51" t="n"/>
      <c r="M21" s="51" t="n"/>
      <c r="N21" s="50" t="n"/>
      <c r="O21" s="49">
        <f>IF($E21="","",IFERROR(INDEX(Tipos!$C$5:$C$51,MATCH($E21,Tipos!$A$5:$A$51,0)),"Tipo não encontrado"))</f>
        <v/>
      </c>
      <c r="P21" s="49">
        <f>IF($E21="","",IFERROR(INDEX(Tipos!$D$5:$D$51,MATCH($E21,Tipos!$A$5:$A$51,0)),""))</f>
        <v/>
      </c>
      <c r="Q21" s="49">
        <f>IF(COUNTA($B21:$F21)=0,"",IF($B21="","Falta Área",IF($C21="","Falta Setor",IF($D21="","Falta Equipamento",IF($E21="","Falta Tipo",IF($F21="","Falta Categoria",IF(COUNTIF($D$4:$D$303,$D21)&gt;1,"Nome repetido: diferencie (01, 02…)",IF(AND(ISNUMBER(SEARCH("Temperatura",$P21)),OR($L21="",$M21="")),"Falta faixa de temperatura",IF(AND(ISNUMBER($L21),ISNUMBER($M21),$L21&gt;$M21),"Temp. mínima maior que a máxima","OK")))))))))</f>
        <v/>
      </c>
      <c r="R21" s="49">
        <f>IF($E21="","",IFERROR(INDEX(Tipos!$B$5:$B$51,MATCH($E21,Tipos!$A$5:$A$51,0)),""))</f>
        <v/>
      </c>
    </row>
    <row r="22" ht="15" customHeight="1" s="33">
      <c r="A22" s="50" t="inlineStr">
        <is>
          <t>RioMar Recife</t>
        </is>
      </c>
      <c r="B22" s="50" t="n"/>
      <c r="C22" s="50" t="n"/>
      <c r="D22" s="50" t="n"/>
      <c r="E22" s="50" t="n"/>
      <c r="F22" s="50" t="n"/>
      <c r="G22" s="50" t="n"/>
      <c r="H22" s="50" t="n"/>
      <c r="I22" s="50" t="n"/>
      <c r="J22" s="50" t="n"/>
      <c r="K22" s="51" t="n"/>
      <c r="L22" s="51" t="n"/>
      <c r="M22" s="51" t="n"/>
      <c r="N22" s="50" t="n"/>
      <c r="O22" s="49">
        <f>IF($E22="","",IFERROR(INDEX(Tipos!$C$5:$C$51,MATCH($E22,Tipos!$A$5:$A$51,0)),"Tipo não encontrado"))</f>
        <v/>
      </c>
      <c r="P22" s="49">
        <f>IF($E22="","",IFERROR(INDEX(Tipos!$D$5:$D$51,MATCH($E22,Tipos!$A$5:$A$51,0)),""))</f>
        <v/>
      </c>
      <c r="Q22" s="49">
        <f>IF(COUNTA($B22:$F22)=0,"",IF($B22="","Falta Área",IF($C22="","Falta Setor",IF($D22="","Falta Equipamento",IF($E22="","Falta Tipo",IF($F22="","Falta Categoria",IF(COUNTIF($D$4:$D$303,$D22)&gt;1,"Nome repetido: diferencie (01, 02…)",IF(AND(ISNUMBER(SEARCH("Temperatura",$P22)),OR($L22="",$M22="")),"Falta faixa de temperatura",IF(AND(ISNUMBER($L22),ISNUMBER($M22),$L22&gt;$M22),"Temp. mínima maior que a máxima","OK")))))))))</f>
        <v/>
      </c>
      <c r="R22" s="49">
        <f>IF($E22="","",IFERROR(INDEX(Tipos!$B$5:$B$51,MATCH($E22,Tipos!$A$5:$A$51,0)),""))</f>
        <v/>
      </c>
    </row>
    <row r="23" ht="15" customHeight="1" s="33">
      <c r="A23" s="50" t="inlineStr">
        <is>
          <t>RioMar Recife</t>
        </is>
      </c>
      <c r="B23" s="50" t="n"/>
      <c r="C23" s="50" t="n"/>
      <c r="D23" s="50" t="n"/>
      <c r="E23" s="50" t="n"/>
      <c r="F23" s="50" t="n"/>
      <c r="G23" s="50" t="n"/>
      <c r="H23" s="50" t="n"/>
      <c r="I23" s="50" t="n"/>
      <c r="J23" s="50" t="n"/>
      <c r="K23" s="51" t="n"/>
      <c r="L23" s="51" t="n"/>
      <c r="M23" s="51" t="n"/>
      <c r="N23" s="50" t="n"/>
      <c r="O23" s="49">
        <f>IF($E23="","",IFERROR(INDEX(Tipos!$C$5:$C$51,MATCH($E23,Tipos!$A$5:$A$51,0)),"Tipo não encontrado"))</f>
        <v/>
      </c>
      <c r="P23" s="49">
        <f>IF($E23="","",IFERROR(INDEX(Tipos!$D$5:$D$51,MATCH($E23,Tipos!$A$5:$A$51,0)),""))</f>
        <v/>
      </c>
      <c r="Q23" s="49">
        <f>IF(COUNTA($B23:$F23)=0,"",IF($B23="","Falta Área",IF($C23="","Falta Setor",IF($D23="","Falta Equipamento",IF($E23="","Falta Tipo",IF($F23="","Falta Categoria",IF(COUNTIF($D$4:$D$303,$D23)&gt;1,"Nome repetido: diferencie (01, 02…)",IF(AND(ISNUMBER(SEARCH("Temperatura",$P23)),OR($L23="",$M23="")),"Falta faixa de temperatura",IF(AND(ISNUMBER($L23),ISNUMBER($M23),$L23&gt;$M23),"Temp. mínima maior que a máxima","OK")))))))))</f>
        <v/>
      </c>
      <c r="R23" s="49">
        <f>IF($E23="","",IFERROR(INDEX(Tipos!$B$5:$B$51,MATCH($E23,Tipos!$A$5:$A$51,0)),""))</f>
        <v/>
      </c>
    </row>
    <row r="24" ht="15" customHeight="1" s="33">
      <c r="A24" s="50" t="inlineStr">
        <is>
          <t>RioMar Recife</t>
        </is>
      </c>
      <c r="B24" s="50" t="n"/>
      <c r="C24" s="50" t="n"/>
      <c r="D24" s="50" t="n"/>
      <c r="E24" s="50" t="n"/>
      <c r="F24" s="50" t="n"/>
      <c r="G24" s="50" t="n"/>
      <c r="H24" s="50" t="n"/>
      <c r="I24" s="50" t="n"/>
      <c r="J24" s="50" t="n"/>
      <c r="K24" s="51" t="n"/>
      <c r="L24" s="51" t="n"/>
      <c r="M24" s="51" t="n"/>
      <c r="N24" s="50" t="n"/>
      <c r="O24" s="49">
        <f>IF($E24="","",IFERROR(INDEX(Tipos!$C$5:$C$51,MATCH($E24,Tipos!$A$5:$A$51,0)),"Tipo não encontrado"))</f>
        <v/>
      </c>
      <c r="P24" s="49">
        <f>IF($E24="","",IFERROR(INDEX(Tipos!$D$5:$D$51,MATCH($E24,Tipos!$A$5:$A$51,0)),""))</f>
        <v/>
      </c>
      <c r="Q24" s="49">
        <f>IF(COUNTA($B24:$F24)=0,"",IF($B24="","Falta Área",IF($C24="","Falta Setor",IF($D24="","Falta Equipamento",IF($E24="","Falta Tipo",IF($F24="","Falta Categoria",IF(COUNTIF($D$4:$D$303,$D24)&gt;1,"Nome repetido: diferencie (01, 02…)",IF(AND(ISNUMBER(SEARCH("Temperatura",$P24)),OR($L24="",$M24="")),"Falta faixa de temperatura",IF(AND(ISNUMBER($L24),ISNUMBER($M24),$L24&gt;$M24),"Temp. mínima maior que a máxima","OK")))))))))</f>
        <v/>
      </c>
      <c r="R24" s="49">
        <f>IF($E24="","",IFERROR(INDEX(Tipos!$B$5:$B$51,MATCH($E24,Tipos!$A$5:$A$51,0)),""))</f>
        <v/>
      </c>
    </row>
    <row r="25" ht="15" customHeight="1" s="33">
      <c r="A25" s="50" t="inlineStr">
        <is>
          <t>RioMar Recife</t>
        </is>
      </c>
      <c r="B25" s="50" t="n"/>
      <c r="C25" s="50" t="n"/>
      <c r="D25" s="50" t="n"/>
      <c r="E25" s="50" t="n"/>
      <c r="F25" s="50" t="n"/>
      <c r="G25" s="50" t="n"/>
      <c r="H25" s="50" t="n"/>
      <c r="I25" s="50" t="n"/>
      <c r="J25" s="50" t="n"/>
      <c r="K25" s="51" t="n"/>
      <c r="L25" s="51" t="n"/>
      <c r="M25" s="51" t="n"/>
      <c r="N25" s="50" t="n"/>
      <c r="O25" s="49">
        <f>IF($E25="","",IFERROR(INDEX(Tipos!$C$5:$C$51,MATCH($E25,Tipos!$A$5:$A$51,0)),"Tipo não encontrado"))</f>
        <v/>
      </c>
      <c r="P25" s="49">
        <f>IF($E25="","",IFERROR(INDEX(Tipos!$D$5:$D$51,MATCH($E25,Tipos!$A$5:$A$51,0)),""))</f>
        <v/>
      </c>
      <c r="Q25" s="49">
        <f>IF(COUNTA($B25:$F25)=0,"",IF($B25="","Falta Área",IF($C25="","Falta Setor",IF($D25="","Falta Equipamento",IF($E25="","Falta Tipo",IF($F25="","Falta Categoria",IF(COUNTIF($D$4:$D$303,$D25)&gt;1,"Nome repetido: diferencie (01, 02…)",IF(AND(ISNUMBER(SEARCH("Temperatura",$P25)),OR($L25="",$M25="")),"Falta faixa de temperatura",IF(AND(ISNUMBER($L25),ISNUMBER($M25),$L25&gt;$M25),"Temp. mínima maior que a máxima","OK")))))))))</f>
        <v/>
      </c>
      <c r="R25" s="49">
        <f>IF($E25="","",IFERROR(INDEX(Tipos!$B$5:$B$51,MATCH($E25,Tipos!$A$5:$A$51,0)),""))</f>
        <v/>
      </c>
    </row>
    <row r="26" ht="15" customHeight="1" s="33">
      <c r="A26" s="50" t="inlineStr">
        <is>
          <t>RioMar Recife</t>
        </is>
      </c>
      <c r="B26" s="50" t="n"/>
      <c r="C26" s="50" t="n"/>
      <c r="D26" s="50" t="n"/>
      <c r="E26" s="50" t="n"/>
      <c r="F26" s="50" t="n"/>
      <c r="G26" s="50" t="n"/>
      <c r="H26" s="50" t="n"/>
      <c r="I26" s="50" t="n"/>
      <c r="J26" s="50" t="n"/>
      <c r="K26" s="51" t="n"/>
      <c r="L26" s="51" t="n"/>
      <c r="M26" s="51" t="n"/>
      <c r="N26" s="50" t="n"/>
      <c r="O26" s="49">
        <f>IF($E26="","",IFERROR(INDEX(Tipos!$C$5:$C$51,MATCH($E26,Tipos!$A$5:$A$51,0)),"Tipo não encontrado"))</f>
        <v/>
      </c>
      <c r="P26" s="49">
        <f>IF($E26="","",IFERROR(INDEX(Tipos!$D$5:$D$51,MATCH($E26,Tipos!$A$5:$A$51,0)),""))</f>
        <v/>
      </c>
      <c r="Q26" s="49">
        <f>IF(COUNTA($B26:$F26)=0,"",IF($B26="","Falta Área",IF($C26="","Falta Setor",IF($D26="","Falta Equipamento",IF($E26="","Falta Tipo",IF($F26="","Falta Categoria",IF(COUNTIF($D$4:$D$303,$D26)&gt;1,"Nome repetido: diferencie (01, 02…)",IF(AND(ISNUMBER(SEARCH("Temperatura",$P26)),OR($L26="",$M26="")),"Falta faixa de temperatura",IF(AND(ISNUMBER($L26),ISNUMBER($M26),$L26&gt;$M26),"Temp. mínima maior que a máxima","OK")))))))))</f>
        <v/>
      </c>
      <c r="R26" s="49">
        <f>IF($E26="","",IFERROR(INDEX(Tipos!$B$5:$B$51,MATCH($E26,Tipos!$A$5:$A$51,0)),""))</f>
        <v/>
      </c>
    </row>
    <row r="27" ht="15" customHeight="1" s="33">
      <c r="A27" s="50" t="inlineStr">
        <is>
          <t>RioMar Recife</t>
        </is>
      </c>
      <c r="B27" s="50" t="n"/>
      <c r="C27" s="50" t="n"/>
      <c r="D27" s="50" t="n"/>
      <c r="E27" s="50" t="n"/>
      <c r="F27" s="50" t="n"/>
      <c r="G27" s="50" t="n"/>
      <c r="H27" s="50" t="n"/>
      <c r="I27" s="50" t="n"/>
      <c r="J27" s="50" t="n"/>
      <c r="K27" s="51" t="n"/>
      <c r="L27" s="51" t="n"/>
      <c r="M27" s="51" t="n"/>
      <c r="N27" s="50" t="n"/>
      <c r="O27" s="49">
        <f>IF($E27="","",IFERROR(INDEX(Tipos!$C$5:$C$51,MATCH($E27,Tipos!$A$5:$A$51,0)),"Tipo não encontrado"))</f>
        <v/>
      </c>
      <c r="P27" s="49">
        <f>IF($E27="","",IFERROR(INDEX(Tipos!$D$5:$D$51,MATCH($E27,Tipos!$A$5:$A$51,0)),""))</f>
        <v/>
      </c>
      <c r="Q27" s="49">
        <f>IF(COUNTA($B27:$F27)=0,"",IF($B27="","Falta Área",IF($C27="","Falta Setor",IF($D27="","Falta Equipamento",IF($E27="","Falta Tipo",IF($F27="","Falta Categoria",IF(COUNTIF($D$4:$D$303,$D27)&gt;1,"Nome repetido: diferencie (01, 02…)",IF(AND(ISNUMBER(SEARCH("Temperatura",$P27)),OR($L27="",$M27="")),"Falta faixa de temperatura",IF(AND(ISNUMBER($L27),ISNUMBER($M27),$L27&gt;$M27),"Temp. mínima maior que a máxima","OK")))))))))</f>
        <v/>
      </c>
      <c r="R27" s="49">
        <f>IF($E27="","",IFERROR(INDEX(Tipos!$B$5:$B$51,MATCH($E27,Tipos!$A$5:$A$51,0)),""))</f>
        <v/>
      </c>
    </row>
    <row r="28" ht="15" customHeight="1" s="33">
      <c r="A28" s="50" t="inlineStr">
        <is>
          <t>RioMar Recife</t>
        </is>
      </c>
      <c r="B28" s="50" t="n"/>
      <c r="C28" s="50" t="n"/>
      <c r="D28" s="50" t="n"/>
      <c r="E28" s="50" t="n"/>
      <c r="F28" s="50" t="n"/>
      <c r="G28" s="50" t="n"/>
      <c r="H28" s="50" t="n"/>
      <c r="I28" s="50" t="n"/>
      <c r="J28" s="50" t="n"/>
      <c r="K28" s="51" t="n"/>
      <c r="L28" s="51" t="n"/>
      <c r="M28" s="51" t="n"/>
      <c r="N28" s="50" t="n"/>
      <c r="O28" s="49">
        <f>IF($E28="","",IFERROR(INDEX(Tipos!$C$5:$C$51,MATCH($E28,Tipos!$A$5:$A$51,0)),"Tipo não encontrado"))</f>
        <v/>
      </c>
      <c r="P28" s="49">
        <f>IF($E28="","",IFERROR(INDEX(Tipos!$D$5:$D$51,MATCH($E28,Tipos!$A$5:$A$51,0)),""))</f>
        <v/>
      </c>
      <c r="Q28" s="49">
        <f>IF(COUNTA($B28:$F28)=0,"",IF($B28="","Falta Área",IF($C28="","Falta Setor",IF($D28="","Falta Equipamento",IF($E28="","Falta Tipo",IF($F28="","Falta Categoria",IF(COUNTIF($D$4:$D$303,$D28)&gt;1,"Nome repetido: diferencie (01, 02…)",IF(AND(ISNUMBER(SEARCH("Temperatura",$P28)),OR($L28="",$M28="")),"Falta faixa de temperatura",IF(AND(ISNUMBER($L28),ISNUMBER($M28),$L28&gt;$M28),"Temp. mínima maior que a máxima","OK")))))))))</f>
        <v/>
      </c>
      <c r="R28" s="49">
        <f>IF($E28="","",IFERROR(INDEX(Tipos!$B$5:$B$51,MATCH($E28,Tipos!$A$5:$A$51,0)),""))</f>
        <v/>
      </c>
    </row>
    <row r="29" ht="15" customHeight="1" s="33">
      <c r="A29" s="50" t="inlineStr">
        <is>
          <t>RioMar Recife</t>
        </is>
      </c>
      <c r="B29" s="50" t="n"/>
      <c r="C29" s="50" t="n"/>
      <c r="D29" s="50" t="n"/>
      <c r="E29" s="50" t="n"/>
      <c r="F29" s="50" t="n"/>
      <c r="G29" s="50" t="n"/>
      <c r="H29" s="50" t="n"/>
      <c r="I29" s="50" t="n"/>
      <c r="J29" s="50" t="n"/>
      <c r="K29" s="51" t="n"/>
      <c r="L29" s="51" t="n"/>
      <c r="M29" s="51" t="n"/>
      <c r="N29" s="50" t="n"/>
      <c r="O29" s="49">
        <f>IF($E29="","",IFERROR(INDEX(Tipos!$C$5:$C$51,MATCH($E29,Tipos!$A$5:$A$51,0)),"Tipo não encontrado"))</f>
        <v/>
      </c>
      <c r="P29" s="49">
        <f>IF($E29="","",IFERROR(INDEX(Tipos!$D$5:$D$51,MATCH($E29,Tipos!$A$5:$A$51,0)),""))</f>
        <v/>
      </c>
      <c r="Q29" s="49">
        <f>IF(COUNTA($B29:$F29)=0,"",IF($B29="","Falta Área",IF($C29="","Falta Setor",IF($D29="","Falta Equipamento",IF($E29="","Falta Tipo",IF($F29="","Falta Categoria",IF(COUNTIF($D$4:$D$303,$D29)&gt;1,"Nome repetido: diferencie (01, 02…)",IF(AND(ISNUMBER(SEARCH("Temperatura",$P29)),OR($L29="",$M29="")),"Falta faixa de temperatura",IF(AND(ISNUMBER($L29),ISNUMBER($M29),$L29&gt;$M29),"Temp. mínima maior que a máxima","OK")))))))))</f>
        <v/>
      </c>
      <c r="R29" s="49">
        <f>IF($E29="","",IFERROR(INDEX(Tipos!$B$5:$B$51,MATCH($E29,Tipos!$A$5:$A$51,0)),""))</f>
        <v/>
      </c>
    </row>
    <row r="30" ht="15" customHeight="1" s="33">
      <c r="A30" s="50" t="inlineStr">
        <is>
          <t>RioMar Recife</t>
        </is>
      </c>
      <c r="B30" s="50" t="n"/>
      <c r="C30" s="50" t="n"/>
      <c r="D30" s="50" t="n"/>
      <c r="E30" s="50" t="n"/>
      <c r="F30" s="50" t="n"/>
      <c r="G30" s="50" t="n"/>
      <c r="H30" s="50" t="n"/>
      <c r="I30" s="50" t="n"/>
      <c r="J30" s="50" t="n"/>
      <c r="K30" s="51" t="n"/>
      <c r="L30" s="51" t="n"/>
      <c r="M30" s="51" t="n"/>
      <c r="N30" s="50" t="n"/>
      <c r="O30" s="49">
        <f>IF($E30="","",IFERROR(INDEX(Tipos!$C$5:$C$51,MATCH($E30,Tipos!$A$5:$A$51,0)),"Tipo não encontrado"))</f>
        <v/>
      </c>
      <c r="P30" s="49">
        <f>IF($E30="","",IFERROR(INDEX(Tipos!$D$5:$D$51,MATCH($E30,Tipos!$A$5:$A$51,0)),""))</f>
        <v/>
      </c>
      <c r="Q30" s="49">
        <f>IF(COUNTA($B30:$F30)=0,"",IF($B30="","Falta Área",IF($C30="","Falta Setor",IF($D30="","Falta Equipamento",IF($E30="","Falta Tipo",IF($F30="","Falta Categoria",IF(COUNTIF($D$4:$D$303,$D30)&gt;1,"Nome repetido: diferencie (01, 02…)",IF(AND(ISNUMBER(SEARCH("Temperatura",$P30)),OR($L30="",$M30="")),"Falta faixa de temperatura",IF(AND(ISNUMBER($L30),ISNUMBER($M30),$L30&gt;$M30),"Temp. mínima maior que a máxima","OK")))))))))</f>
        <v/>
      </c>
      <c r="R30" s="49">
        <f>IF($E30="","",IFERROR(INDEX(Tipos!$B$5:$B$51,MATCH($E30,Tipos!$A$5:$A$51,0)),""))</f>
        <v/>
      </c>
    </row>
    <row r="31" ht="15" customHeight="1" s="33">
      <c r="A31" s="50" t="inlineStr">
        <is>
          <t>RioMar Recife</t>
        </is>
      </c>
      <c r="B31" s="50" t="n"/>
      <c r="C31" s="50" t="n"/>
      <c r="D31" s="50" t="n"/>
      <c r="E31" s="50" t="n"/>
      <c r="F31" s="50" t="n"/>
      <c r="G31" s="50" t="n"/>
      <c r="H31" s="50" t="n"/>
      <c r="I31" s="50" t="n"/>
      <c r="J31" s="50" t="n"/>
      <c r="K31" s="51" t="n"/>
      <c r="L31" s="51" t="n"/>
      <c r="M31" s="51" t="n"/>
      <c r="N31" s="50" t="n"/>
      <c r="O31" s="49">
        <f>IF($E31="","",IFERROR(INDEX(Tipos!$C$5:$C$51,MATCH($E31,Tipos!$A$5:$A$51,0)),"Tipo não encontrado"))</f>
        <v/>
      </c>
      <c r="P31" s="49">
        <f>IF($E31="","",IFERROR(INDEX(Tipos!$D$5:$D$51,MATCH($E31,Tipos!$A$5:$A$51,0)),""))</f>
        <v/>
      </c>
      <c r="Q31" s="49">
        <f>IF(COUNTA($B31:$F31)=0,"",IF($B31="","Falta Área",IF($C31="","Falta Setor",IF($D31="","Falta Equipamento",IF($E31="","Falta Tipo",IF($F31="","Falta Categoria",IF(COUNTIF($D$4:$D$303,$D31)&gt;1,"Nome repetido: diferencie (01, 02…)",IF(AND(ISNUMBER(SEARCH("Temperatura",$P31)),OR($L31="",$M31="")),"Falta faixa de temperatura",IF(AND(ISNUMBER($L31),ISNUMBER($M31),$L31&gt;$M31),"Temp. mínima maior que a máxima","OK")))))))))</f>
        <v/>
      </c>
      <c r="R31" s="49">
        <f>IF($E31="","",IFERROR(INDEX(Tipos!$B$5:$B$51,MATCH($E31,Tipos!$A$5:$A$51,0)),""))</f>
        <v/>
      </c>
    </row>
    <row r="32" ht="15" customHeight="1" s="33">
      <c r="A32" s="50" t="inlineStr">
        <is>
          <t>RioMar Recife</t>
        </is>
      </c>
      <c r="B32" s="50" t="n"/>
      <c r="C32" s="50" t="n"/>
      <c r="D32" s="50" t="n"/>
      <c r="E32" s="50" t="n"/>
      <c r="F32" s="50" t="n"/>
      <c r="G32" s="50" t="n"/>
      <c r="H32" s="50" t="n"/>
      <c r="I32" s="50" t="n"/>
      <c r="J32" s="50" t="n"/>
      <c r="K32" s="51" t="n"/>
      <c r="L32" s="51" t="n"/>
      <c r="M32" s="51" t="n"/>
      <c r="N32" s="50" t="n"/>
      <c r="O32" s="49">
        <f>IF($E32="","",IFERROR(INDEX(Tipos!$C$5:$C$51,MATCH($E32,Tipos!$A$5:$A$51,0)),"Tipo não encontrado"))</f>
        <v/>
      </c>
      <c r="P32" s="49">
        <f>IF($E32="","",IFERROR(INDEX(Tipos!$D$5:$D$51,MATCH($E32,Tipos!$A$5:$A$51,0)),""))</f>
        <v/>
      </c>
      <c r="Q32" s="49">
        <f>IF(COUNTA($B32:$F32)=0,"",IF($B32="","Falta Área",IF($C32="","Falta Setor",IF($D32="","Falta Equipamento",IF($E32="","Falta Tipo",IF($F32="","Falta Categoria",IF(COUNTIF($D$4:$D$303,$D32)&gt;1,"Nome repetido: diferencie (01, 02…)",IF(AND(ISNUMBER(SEARCH("Temperatura",$P32)),OR($L32="",$M32="")),"Falta faixa de temperatura",IF(AND(ISNUMBER($L32),ISNUMBER($M32),$L32&gt;$M32),"Temp. mínima maior que a máxima","OK")))))))))</f>
        <v/>
      </c>
      <c r="R32" s="49">
        <f>IF($E32="","",IFERROR(INDEX(Tipos!$B$5:$B$51,MATCH($E32,Tipos!$A$5:$A$51,0)),""))</f>
        <v/>
      </c>
    </row>
    <row r="33" ht="15" customHeight="1" s="33">
      <c r="A33" s="50" t="inlineStr">
        <is>
          <t>RioMar Recife</t>
        </is>
      </c>
      <c r="B33" s="50" t="n"/>
      <c r="C33" s="50" t="n"/>
      <c r="D33" s="50" t="n"/>
      <c r="E33" s="50" t="n"/>
      <c r="F33" s="50" t="n"/>
      <c r="G33" s="50" t="n"/>
      <c r="H33" s="50" t="n"/>
      <c r="I33" s="50" t="n"/>
      <c r="J33" s="50" t="n"/>
      <c r="K33" s="51" t="n"/>
      <c r="L33" s="51" t="n"/>
      <c r="M33" s="51" t="n"/>
      <c r="N33" s="50" t="n"/>
      <c r="O33" s="49">
        <f>IF($E33="","",IFERROR(INDEX(Tipos!$C$5:$C$51,MATCH($E33,Tipos!$A$5:$A$51,0)),"Tipo não encontrado"))</f>
        <v/>
      </c>
      <c r="P33" s="49">
        <f>IF($E33="","",IFERROR(INDEX(Tipos!$D$5:$D$51,MATCH($E33,Tipos!$A$5:$A$51,0)),""))</f>
        <v/>
      </c>
      <c r="Q33" s="49">
        <f>IF(COUNTA($B33:$F33)=0,"",IF($B33="","Falta Área",IF($C33="","Falta Setor",IF($D33="","Falta Equipamento",IF($E33="","Falta Tipo",IF($F33="","Falta Categoria",IF(COUNTIF($D$4:$D$303,$D33)&gt;1,"Nome repetido: diferencie (01, 02…)",IF(AND(ISNUMBER(SEARCH("Temperatura",$P33)),OR($L33="",$M33="")),"Falta faixa de temperatura",IF(AND(ISNUMBER($L33),ISNUMBER($M33),$L33&gt;$M33),"Temp. mínima maior que a máxima","OK")))))))))</f>
        <v/>
      </c>
      <c r="R33" s="49">
        <f>IF($E33="","",IFERROR(INDEX(Tipos!$B$5:$B$51,MATCH($E33,Tipos!$A$5:$A$51,0)),""))</f>
        <v/>
      </c>
    </row>
    <row r="34" ht="15" customHeight="1" s="33">
      <c r="A34" s="50" t="inlineStr">
        <is>
          <t>RioMar Recife</t>
        </is>
      </c>
      <c r="B34" s="50" t="n"/>
      <c r="C34" s="50" t="n"/>
      <c r="D34" s="50" t="n"/>
      <c r="E34" s="50" t="n"/>
      <c r="F34" s="50" t="n"/>
      <c r="G34" s="50" t="n"/>
      <c r="H34" s="50" t="n"/>
      <c r="I34" s="50" t="n"/>
      <c r="J34" s="50" t="n"/>
      <c r="K34" s="51" t="n"/>
      <c r="L34" s="51" t="n"/>
      <c r="M34" s="51" t="n"/>
      <c r="N34" s="50" t="n"/>
      <c r="O34" s="49">
        <f>IF($E34="","",IFERROR(INDEX(Tipos!$C$5:$C$51,MATCH($E34,Tipos!$A$5:$A$51,0)),"Tipo não encontrado"))</f>
        <v/>
      </c>
      <c r="P34" s="49">
        <f>IF($E34="","",IFERROR(INDEX(Tipos!$D$5:$D$51,MATCH($E34,Tipos!$A$5:$A$51,0)),""))</f>
        <v/>
      </c>
      <c r="Q34" s="49">
        <f>IF(COUNTA($B34:$F34)=0,"",IF($B34="","Falta Área",IF($C34="","Falta Setor",IF($D34="","Falta Equipamento",IF($E34="","Falta Tipo",IF($F34="","Falta Categoria",IF(COUNTIF($D$4:$D$303,$D34)&gt;1,"Nome repetido: diferencie (01, 02…)",IF(AND(ISNUMBER(SEARCH("Temperatura",$P34)),OR($L34="",$M34="")),"Falta faixa de temperatura",IF(AND(ISNUMBER($L34),ISNUMBER($M34),$L34&gt;$M34),"Temp. mínima maior que a máxima","OK")))))))))</f>
        <v/>
      </c>
      <c r="R34" s="49">
        <f>IF($E34="","",IFERROR(INDEX(Tipos!$B$5:$B$51,MATCH($E34,Tipos!$A$5:$A$51,0)),""))</f>
        <v/>
      </c>
    </row>
    <row r="35" ht="15" customHeight="1" s="33">
      <c r="A35" s="50" t="inlineStr">
        <is>
          <t>RioMar Recife</t>
        </is>
      </c>
      <c r="B35" s="50" t="n"/>
      <c r="C35" s="50" t="n"/>
      <c r="D35" s="50" t="n"/>
      <c r="E35" s="50" t="n"/>
      <c r="F35" s="50" t="n"/>
      <c r="G35" s="50" t="n"/>
      <c r="H35" s="50" t="n"/>
      <c r="I35" s="50" t="n"/>
      <c r="J35" s="50" t="n"/>
      <c r="K35" s="51" t="n"/>
      <c r="L35" s="51" t="n"/>
      <c r="M35" s="51" t="n"/>
      <c r="N35" s="50" t="n"/>
      <c r="O35" s="49">
        <f>IF($E35="","",IFERROR(INDEX(Tipos!$C$5:$C$51,MATCH($E35,Tipos!$A$5:$A$51,0)),"Tipo não encontrado"))</f>
        <v/>
      </c>
      <c r="P35" s="49">
        <f>IF($E35="","",IFERROR(INDEX(Tipos!$D$5:$D$51,MATCH($E35,Tipos!$A$5:$A$51,0)),""))</f>
        <v/>
      </c>
      <c r="Q35" s="49">
        <f>IF(COUNTA($B35:$F35)=0,"",IF($B35="","Falta Área",IF($C35="","Falta Setor",IF($D35="","Falta Equipamento",IF($E35="","Falta Tipo",IF($F35="","Falta Categoria",IF(COUNTIF($D$4:$D$303,$D35)&gt;1,"Nome repetido: diferencie (01, 02…)",IF(AND(ISNUMBER(SEARCH("Temperatura",$P35)),OR($L35="",$M35="")),"Falta faixa de temperatura",IF(AND(ISNUMBER($L35),ISNUMBER($M35),$L35&gt;$M35),"Temp. mínima maior que a máxima","OK")))))))))</f>
        <v/>
      </c>
      <c r="R35" s="49">
        <f>IF($E35="","",IFERROR(INDEX(Tipos!$B$5:$B$51,MATCH($E35,Tipos!$A$5:$A$51,0)),""))</f>
        <v/>
      </c>
    </row>
    <row r="36" ht="15" customHeight="1" s="33">
      <c r="A36" s="50" t="inlineStr">
        <is>
          <t>RioMar Recife</t>
        </is>
      </c>
      <c r="B36" s="50" t="n"/>
      <c r="C36" s="50" t="n"/>
      <c r="D36" s="50" t="n"/>
      <c r="E36" s="50" t="n"/>
      <c r="F36" s="50" t="n"/>
      <c r="G36" s="50" t="n"/>
      <c r="H36" s="50" t="n"/>
      <c r="I36" s="50" t="n"/>
      <c r="J36" s="50" t="n"/>
      <c r="K36" s="51" t="n"/>
      <c r="L36" s="51" t="n"/>
      <c r="M36" s="51" t="n"/>
      <c r="N36" s="50" t="n"/>
      <c r="O36" s="49">
        <f>IF($E36="","",IFERROR(INDEX(Tipos!$C$5:$C$51,MATCH($E36,Tipos!$A$5:$A$51,0)),"Tipo não encontrado"))</f>
        <v/>
      </c>
      <c r="P36" s="49">
        <f>IF($E36="","",IFERROR(INDEX(Tipos!$D$5:$D$51,MATCH($E36,Tipos!$A$5:$A$51,0)),""))</f>
        <v/>
      </c>
      <c r="Q36" s="49">
        <f>IF(COUNTA($B36:$F36)=0,"",IF($B36="","Falta Área",IF($C36="","Falta Setor",IF($D36="","Falta Equipamento",IF($E36="","Falta Tipo",IF($F36="","Falta Categoria",IF(COUNTIF($D$4:$D$303,$D36)&gt;1,"Nome repetido: diferencie (01, 02…)",IF(AND(ISNUMBER(SEARCH("Temperatura",$P36)),OR($L36="",$M36="")),"Falta faixa de temperatura",IF(AND(ISNUMBER($L36),ISNUMBER($M36),$L36&gt;$M36),"Temp. mínima maior que a máxima","OK")))))))))</f>
        <v/>
      </c>
      <c r="R36" s="49">
        <f>IF($E36="","",IFERROR(INDEX(Tipos!$B$5:$B$51,MATCH($E36,Tipos!$A$5:$A$51,0)),""))</f>
        <v/>
      </c>
    </row>
    <row r="37" ht="15" customHeight="1" s="33">
      <c r="A37" s="50" t="inlineStr">
        <is>
          <t>RioMar Recife</t>
        </is>
      </c>
      <c r="B37" s="50" t="n"/>
      <c r="C37" s="50" t="n"/>
      <c r="D37" s="50" t="n"/>
      <c r="E37" s="50" t="n"/>
      <c r="F37" s="50" t="n"/>
      <c r="G37" s="50" t="n"/>
      <c r="H37" s="50" t="n"/>
      <c r="I37" s="50" t="n"/>
      <c r="J37" s="50" t="n"/>
      <c r="K37" s="51" t="n"/>
      <c r="L37" s="51" t="n"/>
      <c r="M37" s="51" t="n"/>
      <c r="N37" s="50" t="n"/>
      <c r="O37" s="49">
        <f>IF($E37="","",IFERROR(INDEX(Tipos!$C$5:$C$51,MATCH($E37,Tipos!$A$5:$A$51,0)),"Tipo não encontrado"))</f>
        <v/>
      </c>
      <c r="P37" s="49">
        <f>IF($E37="","",IFERROR(INDEX(Tipos!$D$5:$D$51,MATCH($E37,Tipos!$A$5:$A$51,0)),""))</f>
        <v/>
      </c>
      <c r="Q37" s="49">
        <f>IF(COUNTA($B37:$F37)=0,"",IF($B37="","Falta Área",IF($C37="","Falta Setor",IF($D37="","Falta Equipamento",IF($E37="","Falta Tipo",IF($F37="","Falta Categoria",IF(COUNTIF($D$4:$D$303,$D37)&gt;1,"Nome repetido: diferencie (01, 02…)",IF(AND(ISNUMBER(SEARCH("Temperatura",$P37)),OR($L37="",$M37="")),"Falta faixa de temperatura",IF(AND(ISNUMBER($L37),ISNUMBER($M37),$L37&gt;$M37),"Temp. mínima maior que a máxima","OK")))))))))</f>
        <v/>
      </c>
      <c r="R37" s="49">
        <f>IF($E37="","",IFERROR(INDEX(Tipos!$B$5:$B$51,MATCH($E37,Tipos!$A$5:$A$51,0)),""))</f>
        <v/>
      </c>
    </row>
    <row r="38" ht="15" customHeight="1" s="33">
      <c r="A38" s="50" t="inlineStr">
        <is>
          <t>RioMar Recife</t>
        </is>
      </c>
      <c r="B38" s="50" t="n"/>
      <c r="C38" s="50" t="n"/>
      <c r="D38" s="50" t="n"/>
      <c r="E38" s="50" t="n"/>
      <c r="F38" s="50" t="n"/>
      <c r="G38" s="50" t="n"/>
      <c r="H38" s="50" t="n"/>
      <c r="I38" s="50" t="n"/>
      <c r="J38" s="50" t="n"/>
      <c r="K38" s="51" t="n"/>
      <c r="L38" s="51" t="n"/>
      <c r="M38" s="51" t="n"/>
      <c r="N38" s="50" t="n"/>
      <c r="O38" s="49">
        <f>IF($E38="","",IFERROR(INDEX(Tipos!$C$5:$C$51,MATCH($E38,Tipos!$A$5:$A$51,0)),"Tipo não encontrado"))</f>
        <v/>
      </c>
      <c r="P38" s="49">
        <f>IF($E38="","",IFERROR(INDEX(Tipos!$D$5:$D$51,MATCH($E38,Tipos!$A$5:$A$51,0)),""))</f>
        <v/>
      </c>
      <c r="Q38" s="49">
        <f>IF(COUNTA($B38:$F38)=0,"",IF($B38="","Falta Área",IF($C38="","Falta Setor",IF($D38="","Falta Equipamento",IF($E38="","Falta Tipo",IF($F38="","Falta Categoria",IF(COUNTIF($D$4:$D$303,$D38)&gt;1,"Nome repetido: diferencie (01, 02…)",IF(AND(ISNUMBER(SEARCH("Temperatura",$P38)),OR($L38="",$M38="")),"Falta faixa de temperatura",IF(AND(ISNUMBER($L38),ISNUMBER($M38),$L38&gt;$M38),"Temp. mínima maior que a máxima","OK")))))))))</f>
        <v/>
      </c>
      <c r="R38" s="49">
        <f>IF($E38="","",IFERROR(INDEX(Tipos!$B$5:$B$51,MATCH($E38,Tipos!$A$5:$A$51,0)),""))</f>
        <v/>
      </c>
    </row>
    <row r="39" ht="15" customHeight="1" s="33">
      <c r="A39" s="50" t="inlineStr">
        <is>
          <t>RioMar Recife</t>
        </is>
      </c>
      <c r="B39" s="50" t="n"/>
      <c r="C39" s="50" t="n"/>
      <c r="D39" s="50" t="n"/>
      <c r="E39" s="50" t="n"/>
      <c r="F39" s="50" t="n"/>
      <c r="G39" s="50" t="n"/>
      <c r="H39" s="50" t="n"/>
      <c r="I39" s="50" t="n"/>
      <c r="J39" s="50" t="n"/>
      <c r="K39" s="51" t="n"/>
      <c r="L39" s="51" t="n"/>
      <c r="M39" s="51" t="n"/>
      <c r="N39" s="50" t="n"/>
      <c r="O39" s="49">
        <f>IF($E39="","",IFERROR(INDEX(Tipos!$C$5:$C$51,MATCH($E39,Tipos!$A$5:$A$51,0)),"Tipo não encontrado"))</f>
        <v/>
      </c>
      <c r="P39" s="49">
        <f>IF($E39="","",IFERROR(INDEX(Tipos!$D$5:$D$51,MATCH($E39,Tipos!$A$5:$A$51,0)),""))</f>
        <v/>
      </c>
      <c r="Q39" s="49">
        <f>IF(COUNTA($B39:$F39)=0,"",IF($B39="","Falta Área",IF($C39="","Falta Setor",IF($D39="","Falta Equipamento",IF($E39="","Falta Tipo",IF($F39="","Falta Categoria",IF(COUNTIF($D$4:$D$303,$D39)&gt;1,"Nome repetido: diferencie (01, 02…)",IF(AND(ISNUMBER(SEARCH("Temperatura",$P39)),OR($L39="",$M39="")),"Falta faixa de temperatura",IF(AND(ISNUMBER($L39),ISNUMBER($M39),$L39&gt;$M39),"Temp. mínima maior que a máxima","OK")))))))))</f>
        <v/>
      </c>
      <c r="R39" s="49">
        <f>IF($E39="","",IFERROR(INDEX(Tipos!$B$5:$B$51,MATCH($E39,Tipos!$A$5:$A$51,0)),""))</f>
        <v/>
      </c>
    </row>
    <row r="40" ht="15" customHeight="1" s="33">
      <c r="A40" s="50" t="inlineStr">
        <is>
          <t>RioMar Recife</t>
        </is>
      </c>
      <c r="B40" s="50" t="n"/>
      <c r="C40" s="50" t="n"/>
      <c r="D40" s="50" t="n"/>
      <c r="E40" s="50" t="n"/>
      <c r="F40" s="50" t="n"/>
      <c r="G40" s="50" t="n"/>
      <c r="H40" s="50" t="n"/>
      <c r="I40" s="50" t="n"/>
      <c r="J40" s="50" t="n"/>
      <c r="K40" s="51" t="n"/>
      <c r="L40" s="51" t="n"/>
      <c r="M40" s="51" t="n"/>
      <c r="N40" s="50" t="n"/>
      <c r="O40" s="49">
        <f>IF($E40="","",IFERROR(INDEX(Tipos!$C$5:$C$51,MATCH($E40,Tipos!$A$5:$A$51,0)),"Tipo não encontrado"))</f>
        <v/>
      </c>
      <c r="P40" s="49">
        <f>IF($E40="","",IFERROR(INDEX(Tipos!$D$5:$D$51,MATCH($E40,Tipos!$A$5:$A$51,0)),""))</f>
        <v/>
      </c>
      <c r="Q40" s="49">
        <f>IF(COUNTA($B40:$F40)=0,"",IF($B40="","Falta Área",IF($C40="","Falta Setor",IF($D40="","Falta Equipamento",IF($E40="","Falta Tipo",IF($F40="","Falta Categoria",IF(COUNTIF($D$4:$D$303,$D40)&gt;1,"Nome repetido: diferencie (01, 02…)",IF(AND(ISNUMBER(SEARCH("Temperatura",$P40)),OR($L40="",$M40="")),"Falta faixa de temperatura",IF(AND(ISNUMBER($L40),ISNUMBER($M40),$L40&gt;$M40),"Temp. mínima maior que a máxima","OK")))))))))</f>
        <v/>
      </c>
      <c r="R40" s="49">
        <f>IF($E40="","",IFERROR(INDEX(Tipos!$B$5:$B$51,MATCH($E40,Tipos!$A$5:$A$51,0)),""))</f>
        <v/>
      </c>
    </row>
    <row r="41" ht="15" customHeight="1" s="33">
      <c r="A41" s="50" t="inlineStr">
        <is>
          <t>RioMar Recife</t>
        </is>
      </c>
      <c r="B41" s="50" t="n"/>
      <c r="C41" s="50" t="n"/>
      <c r="D41" s="50" t="n"/>
      <c r="E41" s="50" t="n"/>
      <c r="F41" s="50" t="n"/>
      <c r="G41" s="50" t="n"/>
      <c r="H41" s="50" t="n"/>
      <c r="I41" s="50" t="n"/>
      <c r="J41" s="50" t="n"/>
      <c r="K41" s="51" t="n"/>
      <c r="L41" s="51" t="n"/>
      <c r="M41" s="51" t="n"/>
      <c r="N41" s="50" t="n"/>
      <c r="O41" s="49">
        <f>IF($E41="","",IFERROR(INDEX(Tipos!$C$5:$C$51,MATCH($E41,Tipos!$A$5:$A$51,0)),"Tipo não encontrado"))</f>
        <v/>
      </c>
      <c r="P41" s="49">
        <f>IF($E41="","",IFERROR(INDEX(Tipos!$D$5:$D$51,MATCH($E41,Tipos!$A$5:$A$51,0)),""))</f>
        <v/>
      </c>
      <c r="Q41" s="49">
        <f>IF(COUNTA($B41:$F41)=0,"",IF($B41="","Falta Área",IF($C41="","Falta Setor",IF($D41="","Falta Equipamento",IF($E41="","Falta Tipo",IF($F41="","Falta Categoria",IF(COUNTIF($D$4:$D$303,$D41)&gt;1,"Nome repetido: diferencie (01, 02…)",IF(AND(ISNUMBER(SEARCH("Temperatura",$P41)),OR($L41="",$M41="")),"Falta faixa de temperatura",IF(AND(ISNUMBER($L41),ISNUMBER($M41),$L41&gt;$M41),"Temp. mínima maior que a máxima","OK")))))))))</f>
        <v/>
      </c>
      <c r="R41" s="49">
        <f>IF($E41="","",IFERROR(INDEX(Tipos!$B$5:$B$51,MATCH($E41,Tipos!$A$5:$A$51,0)),""))</f>
        <v/>
      </c>
    </row>
    <row r="42" ht="15" customHeight="1" s="33">
      <c r="A42" s="50" t="inlineStr">
        <is>
          <t>RioMar Recife</t>
        </is>
      </c>
      <c r="B42" s="50" t="n"/>
      <c r="C42" s="50" t="n"/>
      <c r="D42" s="50" t="n"/>
      <c r="E42" s="50" t="n"/>
      <c r="F42" s="50" t="n"/>
      <c r="G42" s="50" t="n"/>
      <c r="H42" s="50" t="n"/>
      <c r="I42" s="50" t="n"/>
      <c r="J42" s="50" t="n"/>
      <c r="K42" s="51" t="n"/>
      <c r="L42" s="51" t="n"/>
      <c r="M42" s="51" t="n"/>
      <c r="N42" s="50" t="n"/>
      <c r="O42" s="49">
        <f>IF($E42="","",IFERROR(INDEX(Tipos!$C$5:$C$51,MATCH($E42,Tipos!$A$5:$A$51,0)),"Tipo não encontrado"))</f>
        <v/>
      </c>
      <c r="P42" s="49">
        <f>IF($E42="","",IFERROR(INDEX(Tipos!$D$5:$D$51,MATCH($E42,Tipos!$A$5:$A$51,0)),""))</f>
        <v/>
      </c>
      <c r="Q42" s="49">
        <f>IF(COUNTA($B42:$F42)=0,"",IF($B42="","Falta Área",IF($C42="","Falta Setor",IF($D42="","Falta Equipamento",IF($E42="","Falta Tipo",IF($F42="","Falta Categoria",IF(COUNTIF($D$4:$D$303,$D42)&gt;1,"Nome repetido: diferencie (01, 02…)",IF(AND(ISNUMBER(SEARCH("Temperatura",$P42)),OR($L42="",$M42="")),"Falta faixa de temperatura",IF(AND(ISNUMBER($L42),ISNUMBER($M42),$L42&gt;$M42),"Temp. mínima maior que a máxima","OK")))))))))</f>
        <v/>
      </c>
      <c r="R42" s="49">
        <f>IF($E42="","",IFERROR(INDEX(Tipos!$B$5:$B$51,MATCH($E42,Tipos!$A$5:$A$51,0)),""))</f>
        <v/>
      </c>
    </row>
    <row r="43" ht="15" customHeight="1" s="33">
      <c r="A43" s="50" t="inlineStr">
        <is>
          <t>RioMar Recife</t>
        </is>
      </c>
      <c r="B43" s="50" t="n"/>
      <c r="C43" s="50" t="n"/>
      <c r="D43" s="50" t="n"/>
      <c r="E43" s="50" t="n"/>
      <c r="F43" s="50" t="n"/>
      <c r="G43" s="50" t="n"/>
      <c r="H43" s="50" t="n"/>
      <c r="I43" s="50" t="n"/>
      <c r="J43" s="50" t="n"/>
      <c r="K43" s="51" t="n"/>
      <c r="L43" s="51" t="n"/>
      <c r="M43" s="51" t="n"/>
      <c r="N43" s="50" t="n"/>
      <c r="O43" s="49">
        <f>IF($E43="","",IFERROR(INDEX(Tipos!$C$5:$C$51,MATCH($E43,Tipos!$A$5:$A$51,0)),"Tipo não encontrado"))</f>
        <v/>
      </c>
      <c r="P43" s="49">
        <f>IF($E43="","",IFERROR(INDEX(Tipos!$D$5:$D$51,MATCH($E43,Tipos!$A$5:$A$51,0)),""))</f>
        <v/>
      </c>
      <c r="Q43" s="49">
        <f>IF(COUNTA($B43:$F43)=0,"",IF($B43="","Falta Área",IF($C43="","Falta Setor",IF($D43="","Falta Equipamento",IF($E43="","Falta Tipo",IF($F43="","Falta Categoria",IF(COUNTIF($D$4:$D$303,$D43)&gt;1,"Nome repetido: diferencie (01, 02…)",IF(AND(ISNUMBER(SEARCH("Temperatura",$P43)),OR($L43="",$M43="")),"Falta faixa de temperatura",IF(AND(ISNUMBER($L43),ISNUMBER($M43),$L43&gt;$M43),"Temp. mínima maior que a máxima","OK")))))))))</f>
        <v/>
      </c>
      <c r="R43" s="49">
        <f>IF($E43="","",IFERROR(INDEX(Tipos!$B$5:$B$51,MATCH($E43,Tipos!$A$5:$A$51,0)),""))</f>
        <v/>
      </c>
    </row>
    <row r="44" ht="15" customHeight="1" s="33">
      <c r="A44" s="50" t="inlineStr">
        <is>
          <t>RioMar Recife</t>
        </is>
      </c>
      <c r="B44" s="50" t="n"/>
      <c r="C44" s="50" t="n"/>
      <c r="D44" s="50" t="n"/>
      <c r="E44" s="50" t="n"/>
      <c r="F44" s="50" t="n"/>
      <c r="G44" s="50" t="n"/>
      <c r="H44" s="50" t="n"/>
      <c r="I44" s="50" t="n"/>
      <c r="J44" s="50" t="n"/>
      <c r="K44" s="51" t="n"/>
      <c r="L44" s="51" t="n"/>
      <c r="M44" s="51" t="n"/>
      <c r="N44" s="50" t="n"/>
      <c r="O44" s="49">
        <f>IF($E44="","",IFERROR(INDEX(Tipos!$C$5:$C$51,MATCH($E44,Tipos!$A$5:$A$51,0)),"Tipo não encontrado"))</f>
        <v/>
      </c>
      <c r="P44" s="49">
        <f>IF($E44="","",IFERROR(INDEX(Tipos!$D$5:$D$51,MATCH($E44,Tipos!$A$5:$A$51,0)),""))</f>
        <v/>
      </c>
      <c r="Q44" s="49">
        <f>IF(COUNTA($B44:$F44)=0,"",IF($B44="","Falta Área",IF($C44="","Falta Setor",IF($D44="","Falta Equipamento",IF($E44="","Falta Tipo",IF($F44="","Falta Categoria",IF(COUNTIF($D$4:$D$303,$D44)&gt;1,"Nome repetido: diferencie (01, 02…)",IF(AND(ISNUMBER(SEARCH("Temperatura",$P44)),OR($L44="",$M44="")),"Falta faixa de temperatura",IF(AND(ISNUMBER($L44),ISNUMBER($M44),$L44&gt;$M44),"Temp. mínima maior que a máxima","OK")))))))))</f>
        <v/>
      </c>
      <c r="R44" s="49">
        <f>IF($E44="","",IFERROR(INDEX(Tipos!$B$5:$B$51,MATCH($E44,Tipos!$A$5:$A$51,0)),""))</f>
        <v/>
      </c>
    </row>
    <row r="45" ht="15" customHeight="1" s="33">
      <c r="A45" s="50" t="inlineStr">
        <is>
          <t>RioMar Recife</t>
        </is>
      </c>
      <c r="B45" s="50" t="n"/>
      <c r="C45" s="50" t="n"/>
      <c r="D45" s="50" t="n"/>
      <c r="E45" s="50" t="n"/>
      <c r="F45" s="50" t="n"/>
      <c r="G45" s="50" t="n"/>
      <c r="H45" s="50" t="n"/>
      <c r="I45" s="50" t="n"/>
      <c r="J45" s="50" t="n"/>
      <c r="K45" s="51" t="n"/>
      <c r="L45" s="51" t="n"/>
      <c r="M45" s="51" t="n"/>
      <c r="N45" s="50" t="n"/>
      <c r="O45" s="49">
        <f>IF($E45="","",IFERROR(INDEX(Tipos!$C$5:$C$51,MATCH($E45,Tipos!$A$5:$A$51,0)),"Tipo não encontrado"))</f>
        <v/>
      </c>
      <c r="P45" s="49">
        <f>IF($E45="","",IFERROR(INDEX(Tipos!$D$5:$D$51,MATCH($E45,Tipos!$A$5:$A$51,0)),""))</f>
        <v/>
      </c>
      <c r="Q45" s="49">
        <f>IF(COUNTA($B45:$F45)=0,"",IF($B45="","Falta Área",IF($C45="","Falta Setor",IF($D45="","Falta Equipamento",IF($E45="","Falta Tipo",IF($F45="","Falta Categoria",IF(COUNTIF($D$4:$D$303,$D45)&gt;1,"Nome repetido: diferencie (01, 02…)",IF(AND(ISNUMBER(SEARCH("Temperatura",$P45)),OR($L45="",$M45="")),"Falta faixa de temperatura",IF(AND(ISNUMBER($L45),ISNUMBER($M45),$L45&gt;$M45),"Temp. mínima maior que a máxima","OK")))))))))</f>
        <v/>
      </c>
      <c r="R45" s="49">
        <f>IF($E45="","",IFERROR(INDEX(Tipos!$B$5:$B$51,MATCH($E45,Tipos!$A$5:$A$51,0)),""))</f>
        <v/>
      </c>
    </row>
    <row r="46" ht="15" customHeight="1" s="33">
      <c r="A46" s="50" t="inlineStr">
        <is>
          <t>RioMar Recife</t>
        </is>
      </c>
      <c r="B46" s="50" t="n"/>
      <c r="C46" s="50" t="n"/>
      <c r="D46" s="50" t="n"/>
      <c r="E46" s="50" t="n"/>
      <c r="F46" s="50" t="n"/>
      <c r="G46" s="50" t="n"/>
      <c r="H46" s="50" t="n"/>
      <c r="I46" s="50" t="n"/>
      <c r="J46" s="50" t="n"/>
      <c r="K46" s="51" t="n"/>
      <c r="L46" s="51" t="n"/>
      <c r="M46" s="51" t="n"/>
      <c r="N46" s="50" t="n"/>
      <c r="O46" s="49">
        <f>IF($E46="","",IFERROR(INDEX(Tipos!$C$5:$C$51,MATCH($E46,Tipos!$A$5:$A$51,0)),"Tipo não encontrado"))</f>
        <v/>
      </c>
      <c r="P46" s="49">
        <f>IF($E46="","",IFERROR(INDEX(Tipos!$D$5:$D$51,MATCH($E46,Tipos!$A$5:$A$51,0)),""))</f>
        <v/>
      </c>
      <c r="Q46" s="49">
        <f>IF(COUNTA($B46:$F46)=0,"",IF($B46="","Falta Área",IF($C46="","Falta Setor",IF($D46="","Falta Equipamento",IF($E46="","Falta Tipo",IF($F46="","Falta Categoria",IF(COUNTIF($D$4:$D$303,$D46)&gt;1,"Nome repetido: diferencie (01, 02…)",IF(AND(ISNUMBER(SEARCH("Temperatura",$P46)),OR($L46="",$M46="")),"Falta faixa de temperatura",IF(AND(ISNUMBER($L46),ISNUMBER($M46),$L46&gt;$M46),"Temp. mínima maior que a máxima","OK")))))))))</f>
        <v/>
      </c>
      <c r="R46" s="49">
        <f>IF($E46="","",IFERROR(INDEX(Tipos!$B$5:$B$51,MATCH($E46,Tipos!$A$5:$A$51,0)),""))</f>
        <v/>
      </c>
    </row>
    <row r="47" ht="15" customHeight="1" s="33">
      <c r="A47" s="50" t="inlineStr">
        <is>
          <t>RioMar Recife</t>
        </is>
      </c>
      <c r="B47" s="50" t="n"/>
      <c r="C47" s="50" t="n"/>
      <c r="D47" s="50" t="n"/>
      <c r="E47" s="50" t="n"/>
      <c r="F47" s="50" t="n"/>
      <c r="G47" s="50" t="n"/>
      <c r="H47" s="50" t="n"/>
      <c r="I47" s="50" t="n"/>
      <c r="J47" s="50" t="n"/>
      <c r="K47" s="51" t="n"/>
      <c r="L47" s="51" t="n"/>
      <c r="M47" s="51" t="n"/>
      <c r="N47" s="50" t="n"/>
      <c r="O47" s="49">
        <f>IF($E47="","",IFERROR(INDEX(Tipos!$C$5:$C$51,MATCH($E47,Tipos!$A$5:$A$51,0)),"Tipo não encontrado"))</f>
        <v/>
      </c>
      <c r="P47" s="49">
        <f>IF($E47="","",IFERROR(INDEX(Tipos!$D$5:$D$51,MATCH($E47,Tipos!$A$5:$A$51,0)),""))</f>
        <v/>
      </c>
      <c r="Q47" s="49">
        <f>IF(COUNTA($B47:$F47)=0,"",IF($B47="","Falta Área",IF($C47="","Falta Setor",IF($D47="","Falta Equipamento",IF($E47="","Falta Tipo",IF($F47="","Falta Categoria",IF(COUNTIF($D$4:$D$303,$D47)&gt;1,"Nome repetido: diferencie (01, 02…)",IF(AND(ISNUMBER(SEARCH("Temperatura",$P47)),OR($L47="",$M47="")),"Falta faixa de temperatura",IF(AND(ISNUMBER($L47),ISNUMBER($M47),$L47&gt;$M47),"Temp. mínima maior que a máxima","OK")))))))))</f>
        <v/>
      </c>
      <c r="R47" s="49">
        <f>IF($E47="","",IFERROR(INDEX(Tipos!$B$5:$B$51,MATCH($E47,Tipos!$A$5:$A$51,0)),""))</f>
        <v/>
      </c>
    </row>
    <row r="48" ht="15" customHeight="1" s="33">
      <c r="A48" s="50" t="inlineStr">
        <is>
          <t>RioMar Recife</t>
        </is>
      </c>
      <c r="B48" s="50" t="n"/>
      <c r="C48" s="50" t="n"/>
      <c r="D48" s="50" t="n"/>
      <c r="E48" s="50" t="n"/>
      <c r="F48" s="50" t="n"/>
      <c r="G48" s="50" t="n"/>
      <c r="H48" s="50" t="n"/>
      <c r="I48" s="50" t="n"/>
      <c r="J48" s="50" t="n"/>
      <c r="K48" s="51" t="n"/>
      <c r="L48" s="51" t="n"/>
      <c r="M48" s="51" t="n"/>
      <c r="N48" s="50" t="n"/>
      <c r="O48" s="49">
        <f>IF($E48="","",IFERROR(INDEX(Tipos!$C$5:$C$51,MATCH($E48,Tipos!$A$5:$A$51,0)),"Tipo não encontrado"))</f>
        <v/>
      </c>
      <c r="P48" s="49">
        <f>IF($E48="","",IFERROR(INDEX(Tipos!$D$5:$D$51,MATCH($E48,Tipos!$A$5:$A$51,0)),""))</f>
        <v/>
      </c>
      <c r="Q48" s="49">
        <f>IF(COUNTA($B48:$F48)=0,"",IF($B48="","Falta Área",IF($C48="","Falta Setor",IF($D48="","Falta Equipamento",IF($E48="","Falta Tipo",IF($F48="","Falta Categoria",IF(COUNTIF($D$4:$D$303,$D48)&gt;1,"Nome repetido: diferencie (01, 02…)",IF(AND(ISNUMBER(SEARCH("Temperatura",$P48)),OR($L48="",$M48="")),"Falta faixa de temperatura",IF(AND(ISNUMBER($L48),ISNUMBER($M48),$L48&gt;$M48),"Temp. mínima maior que a máxima","OK")))))))))</f>
        <v/>
      </c>
      <c r="R48" s="49">
        <f>IF($E48="","",IFERROR(INDEX(Tipos!$B$5:$B$51,MATCH($E48,Tipos!$A$5:$A$51,0)),""))</f>
        <v/>
      </c>
    </row>
    <row r="49" ht="15" customHeight="1" s="33">
      <c r="A49" s="50" t="inlineStr">
        <is>
          <t>RioMar Recife</t>
        </is>
      </c>
      <c r="B49" s="50" t="n"/>
      <c r="C49" s="50" t="n"/>
      <c r="D49" s="50" t="n"/>
      <c r="E49" s="50" t="n"/>
      <c r="F49" s="50" t="n"/>
      <c r="G49" s="50" t="n"/>
      <c r="H49" s="50" t="n"/>
      <c r="I49" s="50" t="n"/>
      <c r="J49" s="50" t="n"/>
      <c r="K49" s="51" t="n"/>
      <c r="L49" s="51" t="n"/>
      <c r="M49" s="51" t="n"/>
      <c r="N49" s="50" t="n"/>
      <c r="O49" s="49">
        <f>IF($E49="","",IFERROR(INDEX(Tipos!$C$5:$C$51,MATCH($E49,Tipos!$A$5:$A$51,0)),"Tipo não encontrado"))</f>
        <v/>
      </c>
      <c r="P49" s="49">
        <f>IF($E49="","",IFERROR(INDEX(Tipos!$D$5:$D$51,MATCH($E49,Tipos!$A$5:$A$51,0)),""))</f>
        <v/>
      </c>
      <c r="Q49" s="49">
        <f>IF(COUNTA($B49:$F49)=0,"",IF($B49="","Falta Área",IF($C49="","Falta Setor",IF($D49="","Falta Equipamento",IF($E49="","Falta Tipo",IF($F49="","Falta Categoria",IF(COUNTIF($D$4:$D$303,$D49)&gt;1,"Nome repetido: diferencie (01, 02…)",IF(AND(ISNUMBER(SEARCH("Temperatura",$P49)),OR($L49="",$M49="")),"Falta faixa de temperatura",IF(AND(ISNUMBER($L49),ISNUMBER($M49),$L49&gt;$M49),"Temp. mínima maior que a máxima","OK")))))))))</f>
        <v/>
      </c>
      <c r="R49" s="49">
        <f>IF($E49="","",IFERROR(INDEX(Tipos!$B$5:$B$51,MATCH($E49,Tipos!$A$5:$A$51,0)),""))</f>
        <v/>
      </c>
    </row>
    <row r="50" ht="15" customHeight="1" s="33">
      <c r="A50" s="50" t="inlineStr">
        <is>
          <t>RioMar Recife</t>
        </is>
      </c>
      <c r="B50" s="50" t="n"/>
      <c r="C50" s="50" t="n"/>
      <c r="D50" s="50" t="n"/>
      <c r="E50" s="50" t="n"/>
      <c r="F50" s="50" t="n"/>
      <c r="G50" s="50" t="n"/>
      <c r="H50" s="50" t="n"/>
      <c r="I50" s="50" t="n"/>
      <c r="J50" s="50" t="n"/>
      <c r="K50" s="51" t="n"/>
      <c r="L50" s="51" t="n"/>
      <c r="M50" s="51" t="n"/>
      <c r="N50" s="50" t="n"/>
      <c r="O50" s="49">
        <f>IF($E50="","",IFERROR(INDEX(Tipos!$C$5:$C$51,MATCH($E50,Tipos!$A$5:$A$51,0)),"Tipo não encontrado"))</f>
        <v/>
      </c>
      <c r="P50" s="49">
        <f>IF($E50="","",IFERROR(INDEX(Tipos!$D$5:$D$51,MATCH($E50,Tipos!$A$5:$A$51,0)),""))</f>
        <v/>
      </c>
      <c r="Q50" s="49">
        <f>IF(COUNTA($B50:$F50)=0,"",IF($B50="","Falta Área",IF($C50="","Falta Setor",IF($D50="","Falta Equipamento",IF($E50="","Falta Tipo",IF($F50="","Falta Categoria",IF(COUNTIF($D$4:$D$303,$D50)&gt;1,"Nome repetido: diferencie (01, 02…)",IF(AND(ISNUMBER(SEARCH("Temperatura",$P50)),OR($L50="",$M50="")),"Falta faixa de temperatura",IF(AND(ISNUMBER($L50),ISNUMBER($M50),$L50&gt;$M50),"Temp. mínima maior que a máxima","OK")))))))))</f>
        <v/>
      </c>
      <c r="R50" s="49">
        <f>IF($E50="","",IFERROR(INDEX(Tipos!$B$5:$B$51,MATCH($E50,Tipos!$A$5:$A$51,0)),""))</f>
        <v/>
      </c>
    </row>
    <row r="51" ht="15" customHeight="1" s="33">
      <c r="A51" s="50" t="inlineStr">
        <is>
          <t>RioMar Recife</t>
        </is>
      </c>
      <c r="B51" s="50" t="n"/>
      <c r="C51" s="50" t="n"/>
      <c r="D51" s="50" t="n"/>
      <c r="E51" s="50" t="n"/>
      <c r="F51" s="50" t="n"/>
      <c r="G51" s="50" t="n"/>
      <c r="H51" s="50" t="n"/>
      <c r="I51" s="50" t="n"/>
      <c r="J51" s="50" t="n"/>
      <c r="K51" s="51" t="n"/>
      <c r="L51" s="51" t="n"/>
      <c r="M51" s="51" t="n"/>
      <c r="N51" s="50" t="n"/>
      <c r="O51" s="49">
        <f>IF($E51="","",IFERROR(INDEX(Tipos!$C$5:$C$51,MATCH($E51,Tipos!$A$5:$A$51,0)),"Tipo não encontrado"))</f>
        <v/>
      </c>
      <c r="P51" s="49">
        <f>IF($E51="","",IFERROR(INDEX(Tipos!$D$5:$D$51,MATCH($E51,Tipos!$A$5:$A$51,0)),""))</f>
        <v/>
      </c>
      <c r="Q51" s="49">
        <f>IF(COUNTA($B51:$F51)=0,"",IF($B51="","Falta Área",IF($C51="","Falta Setor",IF($D51="","Falta Equipamento",IF($E51="","Falta Tipo",IF($F51="","Falta Categoria",IF(COUNTIF($D$4:$D$303,$D51)&gt;1,"Nome repetido: diferencie (01, 02…)",IF(AND(ISNUMBER(SEARCH("Temperatura",$P51)),OR($L51="",$M51="")),"Falta faixa de temperatura",IF(AND(ISNUMBER($L51),ISNUMBER($M51),$L51&gt;$M51),"Temp. mínima maior que a máxima","OK")))))))))</f>
        <v/>
      </c>
      <c r="R51" s="49">
        <f>IF($E51="","",IFERROR(INDEX(Tipos!$B$5:$B$51,MATCH($E51,Tipos!$A$5:$A$51,0)),""))</f>
        <v/>
      </c>
    </row>
    <row r="52" ht="15" customHeight="1" s="33">
      <c r="A52" s="50" t="inlineStr">
        <is>
          <t>RioMar Recife</t>
        </is>
      </c>
      <c r="B52" s="50" t="n"/>
      <c r="C52" s="50" t="n"/>
      <c r="D52" s="50" t="n"/>
      <c r="E52" s="50" t="n"/>
      <c r="F52" s="50" t="n"/>
      <c r="G52" s="50" t="n"/>
      <c r="H52" s="50" t="n"/>
      <c r="I52" s="50" t="n"/>
      <c r="J52" s="50" t="n"/>
      <c r="K52" s="51" t="n"/>
      <c r="L52" s="51" t="n"/>
      <c r="M52" s="51" t="n"/>
      <c r="N52" s="50" t="n"/>
      <c r="O52" s="49">
        <f>IF($E52="","",IFERROR(INDEX(Tipos!$C$5:$C$51,MATCH($E52,Tipos!$A$5:$A$51,0)),"Tipo não encontrado"))</f>
        <v/>
      </c>
      <c r="P52" s="49">
        <f>IF($E52="","",IFERROR(INDEX(Tipos!$D$5:$D$51,MATCH($E52,Tipos!$A$5:$A$51,0)),""))</f>
        <v/>
      </c>
      <c r="Q52" s="49">
        <f>IF(COUNTA($B52:$F52)=0,"",IF($B52="","Falta Área",IF($C52="","Falta Setor",IF($D52="","Falta Equipamento",IF($E52="","Falta Tipo",IF($F52="","Falta Categoria",IF(COUNTIF($D$4:$D$303,$D52)&gt;1,"Nome repetido: diferencie (01, 02…)",IF(AND(ISNUMBER(SEARCH("Temperatura",$P52)),OR($L52="",$M52="")),"Falta faixa de temperatura",IF(AND(ISNUMBER($L52),ISNUMBER($M52),$L52&gt;$M52),"Temp. mínima maior que a máxima","OK")))))))))</f>
        <v/>
      </c>
      <c r="R52" s="49">
        <f>IF($E52="","",IFERROR(INDEX(Tipos!$B$5:$B$51,MATCH($E52,Tipos!$A$5:$A$51,0)),""))</f>
        <v/>
      </c>
    </row>
    <row r="53" ht="15" customHeight="1" s="33">
      <c r="A53" s="50" t="inlineStr">
        <is>
          <t>RioMar Recife</t>
        </is>
      </c>
      <c r="B53" s="50" t="n"/>
      <c r="C53" s="50" t="n"/>
      <c r="D53" s="50" t="n"/>
      <c r="E53" s="50" t="n"/>
      <c r="F53" s="50" t="n"/>
      <c r="G53" s="50" t="n"/>
      <c r="H53" s="50" t="n"/>
      <c r="I53" s="50" t="n"/>
      <c r="J53" s="50" t="n"/>
      <c r="K53" s="51" t="n"/>
      <c r="L53" s="51" t="n"/>
      <c r="M53" s="51" t="n"/>
      <c r="N53" s="50" t="n"/>
      <c r="O53" s="49">
        <f>IF($E53="","",IFERROR(INDEX(Tipos!$C$5:$C$51,MATCH($E53,Tipos!$A$5:$A$51,0)),"Tipo não encontrado"))</f>
        <v/>
      </c>
      <c r="P53" s="49">
        <f>IF($E53="","",IFERROR(INDEX(Tipos!$D$5:$D$51,MATCH($E53,Tipos!$A$5:$A$51,0)),""))</f>
        <v/>
      </c>
      <c r="Q53" s="49">
        <f>IF(COUNTA($B53:$F53)=0,"",IF($B53="","Falta Área",IF($C53="","Falta Setor",IF($D53="","Falta Equipamento",IF($E53="","Falta Tipo",IF($F53="","Falta Categoria",IF(COUNTIF($D$4:$D$303,$D53)&gt;1,"Nome repetido: diferencie (01, 02…)",IF(AND(ISNUMBER(SEARCH("Temperatura",$P53)),OR($L53="",$M53="")),"Falta faixa de temperatura",IF(AND(ISNUMBER($L53),ISNUMBER($M53),$L53&gt;$M53),"Temp. mínima maior que a máxima","OK")))))))))</f>
        <v/>
      </c>
      <c r="R53" s="49">
        <f>IF($E53="","",IFERROR(INDEX(Tipos!$B$5:$B$51,MATCH($E53,Tipos!$A$5:$A$51,0)),""))</f>
        <v/>
      </c>
    </row>
    <row r="54" ht="15" customHeight="1" s="33">
      <c r="A54" s="50" t="inlineStr">
        <is>
          <t>RioMar Recife</t>
        </is>
      </c>
      <c r="B54" s="50" t="n"/>
      <c r="C54" s="50" t="n"/>
      <c r="D54" s="50" t="n"/>
      <c r="E54" s="50" t="n"/>
      <c r="F54" s="50" t="n"/>
      <c r="G54" s="50" t="n"/>
      <c r="H54" s="50" t="n"/>
      <c r="I54" s="50" t="n"/>
      <c r="J54" s="50" t="n"/>
      <c r="K54" s="51" t="n"/>
      <c r="L54" s="51" t="n"/>
      <c r="M54" s="51" t="n"/>
      <c r="N54" s="50" t="n"/>
      <c r="O54" s="49">
        <f>IF($E54="","",IFERROR(INDEX(Tipos!$C$5:$C$51,MATCH($E54,Tipos!$A$5:$A$51,0)),"Tipo não encontrado"))</f>
        <v/>
      </c>
      <c r="P54" s="49">
        <f>IF($E54="","",IFERROR(INDEX(Tipos!$D$5:$D$51,MATCH($E54,Tipos!$A$5:$A$51,0)),""))</f>
        <v/>
      </c>
      <c r="Q54" s="49">
        <f>IF(COUNTA($B54:$F54)=0,"",IF($B54="","Falta Área",IF($C54="","Falta Setor",IF($D54="","Falta Equipamento",IF($E54="","Falta Tipo",IF($F54="","Falta Categoria",IF(COUNTIF($D$4:$D$303,$D54)&gt;1,"Nome repetido: diferencie (01, 02…)",IF(AND(ISNUMBER(SEARCH("Temperatura",$P54)),OR($L54="",$M54="")),"Falta faixa de temperatura",IF(AND(ISNUMBER($L54),ISNUMBER($M54),$L54&gt;$M54),"Temp. mínima maior que a máxima","OK")))))))))</f>
        <v/>
      </c>
      <c r="R54" s="49">
        <f>IF($E54="","",IFERROR(INDEX(Tipos!$B$5:$B$51,MATCH($E54,Tipos!$A$5:$A$51,0)),""))</f>
        <v/>
      </c>
    </row>
    <row r="55" ht="15" customHeight="1" s="33">
      <c r="A55" s="50" t="inlineStr">
        <is>
          <t>RioMar Recife</t>
        </is>
      </c>
      <c r="B55" s="50" t="n"/>
      <c r="C55" s="50" t="n"/>
      <c r="D55" s="50" t="n"/>
      <c r="E55" s="50" t="n"/>
      <c r="F55" s="50" t="n"/>
      <c r="G55" s="50" t="n"/>
      <c r="H55" s="50" t="n"/>
      <c r="I55" s="50" t="n"/>
      <c r="J55" s="50" t="n"/>
      <c r="K55" s="51" t="n"/>
      <c r="L55" s="51" t="n"/>
      <c r="M55" s="51" t="n"/>
      <c r="N55" s="50" t="n"/>
      <c r="O55" s="49">
        <f>IF($E55="","",IFERROR(INDEX(Tipos!$C$5:$C$51,MATCH($E55,Tipos!$A$5:$A$51,0)),"Tipo não encontrado"))</f>
        <v/>
      </c>
      <c r="P55" s="49">
        <f>IF($E55="","",IFERROR(INDEX(Tipos!$D$5:$D$51,MATCH($E55,Tipos!$A$5:$A$51,0)),""))</f>
        <v/>
      </c>
      <c r="Q55" s="49">
        <f>IF(COUNTA($B55:$F55)=0,"",IF($B55="","Falta Área",IF($C55="","Falta Setor",IF($D55="","Falta Equipamento",IF($E55="","Falta Tipo",IF($F55="","Falta Categoria",IF(COUNTIF($D$4:$D$303,$D55)&gt;1,"Nome repetido: diferencie (01, 02…)",IF(AND(ISNUMBER(SEARCH("Temperatura",$P55)),OR($L55="",$M55="")),"Falta faixa de temperatura",IF(AND(ISNUMBER($L55),ISNUMBER($M55),$L55&gt;$M55),"Temp. mínima maior que a máxima","OK")))))))))</f>
        <v/>
      </c>
      <c r="R55" s="49">
        <f>IF($E55="","",IFERROR(INDEX(Tipos!$B$5:$B$51,MATCH($E55,Tipos!$A$5:$A$51,0)),""))</f>
        <v/>
      </c>
    </row>
    <row r="56" ht="15" customHeight="1" s="33">
      <c r="A56" s="50" t="inlineStr">
        <is>
          <t>RioMar Recife</t>
        </is>
      </c>
      <c r="B56" s="50" t="n"/>
      <c r="C56" s="50" t="n"/>
      <c r="D56" s="50" t="n"/>
      <c r="E56" s="50" t="n"/>
      <c r="F56" s="50" t="n"/>
      <c r="G56" s="50" t="n"/>
      <c r="H56" s="50" t="n"/>
      <c r="I56" s="50" t="n"/>
      <c r="J56" s="50" t="n"/>
      <c r="K56" s="51" t="n"/>
      <c r="L56" s="51" t="n"/>
      <c r="M56" s="51" t="n"/>
      <c r="N56" s="50" t="n"/>
      <c r="O56" s="49">
        <f>IF($E56="","",IFERROR(INDEX(Tipos!$C$5:$C$51,MATCH($E56,Tipos!$A$5:$A$51,0)),"Tipo não encontrado"))</f>
        <v/>
      </c>
      <c r="P56" s="49">
        <f>IF($E56="","",IFERROR(INDEX(Tipos!$D$5:$D$51,MATCH($E56,Tipos!$A$5:$A$51,0)),""))</f>
        <v/>
      </c>
      <c r="Q56" s="49">
        <f>IF(COUNTA($B56:$F56)=0,"",IF($B56="","Falta Área",IF($C56="","Falta Setor",IF($D56="","Falta Equipamento",IF($E56="","Falta Tipo",IF($F56="","Falta Categoria",IF(COUNTIF($D$4:$D$303,$D56)&gt;1,"Nome repetido: diferencie (01, 02…)",IF(AND(ISNUMBER(SEARCH("Temperatura",$P56)),OR($L56="",$M56="")),"Falta faixa de temperatura",IF(AND(ISNUMBER($L56),ISNUMBER($M56),$L56&gt;$M56),"Temp. mínima maior que a máxima","OK")))))))))</f>
        <v/>
      </c>
      <c r="R56" s="49">
        <f>IF($E56="","",IFERROR(INDEX(Tipos!$B$5:$B$51,MATCH($E56,Tipos!$A$5:$A$51,0)),""))</f>
        <v/>
      </c>
    </row>
    <row r="57" ht="15" customHeight="1" s="33">
      <c r="A57" s="50" t="inlineStr">
        <is>
          <t>RioMar Recife</t>
        </is>
      </c>
      <c r="B57" s="50" t="n"/>
      <c r="C57" s="50" t="n"/>
      <c r="D57" s="50" t="n"/>
      <c r="E57" s="50" t="n"/>
      <c r="F57" s="50" t="n"/>
      <c r="G57" s="50" t="n"/>
      <c r="H57" s="50" t="n"/>
      <c r="I57" s="50" t="n"/>
      <c r="J57" s="50" t="n"/>
      <c r="K57" s="51" t="n"/>
      <c r="L57" s="51" t="n"/>
      <c r="M57" s="51" t="n"/>
      <c r="N57" s="50" t="n"/>
      <c r="O57" s="49">
        <f>IF($E57="","",IFERROR(INDEX(Tipos!$C$5:$C$51,MATCH($E57,Tipos!$A$5:$A$51,0)),"Tipo não encontrado"))</f>
        <v/>
      </c>
      <c r="P57" s="49">
        <f>IF($E57="","",IFERROR(INDEX(Tipos!$D$5:$D$51,MATCH($E57,Tipos!$A$5:$A$51,0)),""))</f>
        <v/>
      </c>
      <c r="Q57" s="49">
        <f>IF(COUNTA($B57:$F57)=0,"",IF($B57="","Falta Área",IF($C57="","Falta Setor",IF($D57="","Falta Equipamento",IF($E57="","Falta Tipo",IF($F57="","Falta Categoria",IF(COUNTIF($D$4:$D$303,$D57)&gt;1,"Nome repetido: diferencie (01, 02…)",IF(AND(ISNUMBER(SEARCH("Temperatura",$P57)),OR($L57="",$M57="")),"Falta faixa de temperatura",IF(AND(ISNUMBER($L57),ISNUMBER($M57),$L57&gt;$M57),"Temp. mínima maior que a máxima","OK")))))))))</f>
        <v/>
      </c>
      <c r="R57" s="49">
        <f>IF($E57="","",IFERROR(INDEX(Tipos!$B$5:$B$51,MATCH($E57,Tipos!$A$5:$A$51,0)),""))</f>
        <v/>
      </c>
    </row>
    <row r="58" ht="15" customHeight="1" s="33">
      <c r="A58" s="50" t="inlineStr">
        <is>
          <t>RioMar Recife</t>
        </is>
      </c>
      <c r="B58" s="50" t="n"/>
      <c r="C58" s="50" t="n"/>
      <c r="D58" s="50" t="n"/>
      <c r="E58" s="50" t="n"/>
      <c r="F58" s="50" t="n"/>
      <c r="G58" s="50" t="n"/>
      <c r="H58" s="50" t="n"/>
      <c r="I58" s="50" t="n"/>
      <c r="J58" s="50" t="n"/>
      <c r="K58" s="51" t="n"/>
      <c r="L58" s="51" t="n"/>
      <c r="M58" s="51" t="n"/>
      <c r="N58" s="50" t="n"/>
      <c r="O58" s="49">
        <f>IF($E58="","",IFERROR(INDEX(Tipos!$C$5:$C$51,MATCH($E58,Tipos!$A$5:$A$51,0)),"Tipo não encontrado"))</f>
        <v/>
      </c>
      <c r="P58" s="49">
        <f>IF($E58="","",IFERROR(INDEX(Tipos!$D$5:$D$51,MATCH($E58,Tipos!$A$5:$A$51,0)),""))</f>
        <v/>
      </c>
      <c r="Q58" s="49">
        <f>IF(COUNTA($B58:$F58)=0,"",IF($B58="","Falta Área",IF($C58="","Falta Setor",IF($D58="","Falta Equipamento",IF($E58="","Falta Tipo",IF($F58="","Falta Categoria",IF(COUNTIF($D$4:$D$303,$D58)&gt;1,"Nome repetido: diferencie (01, 02…)",IF(AND(ISNUMBER(SEARCH("Temperatura",$P58)),OR($L58="",$M58="")),"Falta faixa de temperatura",IF(AND(ISNUMBER($L58),ISNUMBER($M58),$L58&gt;$M58),"Temp. mínima maior que a máxima","OK")))))))))</f>
        <v/>
      </c>
      <c r="R58" s="49">
        <f>IF($E58="","",IFERROR(INDEX(Tipos!$B$5:$B$51,MATCH($E58,Tipos!$A$5:$A$51,0)),""))</f>
        <v/>
      </c>
    </row>
    <row r="59" ht="15" customHeight="1" s="33">
      <c r="A59" s="50" t="inlineStr">
        <is>
          <t>RioMar Recife</t>
        </is>
      </c>
      <c r="B59" s="50" t="n"/>
      <c r="C59" s="50" t="n"/>
      <c r="D59" s="50" t="n"/>
      <c r="E59" s="50" t="n"/>
      <c r="F59" s="50" t="n"/>
      <c r="G59" s="50" t="n"/>
      <c r="H59" s="50" t="n"/>
      <c r="I59" s="50" t="n"/>
      <c r="J59" s="50" t="n"/>
      <c r="K59" s="51" t="n"/>
      <c r="L59" s="51" t="n"/>
      <c r="M59" s="51" t="n"/>
      <c r="N59" s="50" t="n"/>
      <c r="O59" s="49">
        <f>IF($E59="","",IFERROR(INDEX(Tipos!$C$5:$C$51,MATCH($E59,Tipos!$A$5:$A$51,0)),"Tipo não encontrado"))</f>
        <v/>
      </c>
      <c r="P59" s="49">
        <f>IF($E59="","",IFERROR(INDEX(Tipos!$D$5:$D$51,MATCH($E59,Tipos!$A$5:$A$51,0)),""))</f>
        <v/>
      </c>
      <c r="Q59" s="49">
        <f>IF(COUNTA($B59:$F59)=0,"",IF($B59="","Falta Área",IF($C59="","Falta Setor",IF($D59="","Falta Equipamento",IF($E59="","Falta Tipo",IF($F59="","Falta Categoria",IF(COUNTIF($D$4:$D$303,$D59)&gt;1,"Nome repetido: diferencie (01, 02…)",IF(AND(ISNUMBER(SEARCH("Temperatura",$P59)),OR($L59="",$M59="")),"Falta faixa de temperatura",IF(AND(ISNUMBER($L59),ISNUMBER($M59),$L59&gt;$M59),"Temp. mínima maior que a máxima","OK")))))))))</f>
        <v/>
      </c>
      <c r="R59" s="49">
        <f>IF($E59="","",IFERROR(INDEX(Tipos!$B$5:$B$51,MATCH($E59,Tipos!$A$5:$A$51,0)),""))</f>
        <v/>
      </c>
    </row>
    <row r="60" ht="15" customHeight="1" s="33">
      <c r="A60" s="50" t="inlineStr">
        <is>
          <t>RioMar Recife</t>
        </is>
      </c>
      <c r="B60" s="50" t="n"/>
      <c r="C60" s="50" t="n"/>
      <c r="D60" s="50" t="n"/>
      <c r="E60" s="50" t="n"/>
      <c r="F60" s="50" t="n"/>
      <c r="G60" s="50" t="n"/>
      <c r="H60" s="50" t="n"/>
      <c r="I60" s="50" t="n"/>
      <c r="J60" s="50" t="n"/>
      <c r="K60" s="51" t="n"/>
      <c r="L60" s="51" t="n"/>
      <c r="M60" s="51" t="n"/>
      <c r="N60" s="50" t="n"/>
      <c r="O60" s="49">
        <f>IF($E60="","",IFERROR(INDEX(Tipos!$C$5:$C$51,MATCH($E60,Tipos!$A$5:$A$51,0)),"Tipo não encontrado"))</f>
        <v/>
      </c>
      <c r="P60" s="49">
        <f>IF($E60="","",IFERROR(INDEX(Tipos!$D$5:$D$51,MATCH($E60,Tipos!$A$5:$A$51,0)),""))</f>
        <v/>
      </c>
      <c r="Q60" s="49">
        <f>IF(COUNTA($B60:$F60)=0,"",IF($B60="","Falta Área",IF($C60="","Falta Setor",IF($D60="","Falta Equipamento",IF($E60="","Falta Tipo",IF($F60="","Falta Categoria",IF(COUNTIF($D$4:$D$303,$D60)&gt;1,"Nome repetido: diferencie (01, 02…)",IF(AND(ISNUMBER(SEARCH("Temperatura",$P60)),OR($L60="",$M60="")),"Falta faixa de temperatura",IF(AND(ISNUMBER($L60),ISNUMBER($M60),$L60&gt;$M60),"Temp. mínima maior que a máxima","OK")))))))))</f>
        <v/>
      </c>
      <c r="R60" s="49">
        <f>IF($E60="","",IFERROR(INDEX(Tipos!$B$5:$B$51,MATCH($E60,Tipos!$A$5:$A$51,0)),""))</f>
        <v/>
      </c>
    </row>
    <row r="61" ht="15" customHeight="1" s="33">
      <c r="A61" s="50" t="inlineStr">
        <is>
          <t>RioMar Recife</t>
        </is>
      </c>
      <c r="B61" s="50" t="n"/>
      <c r="C61" s="50" t="n"/>
      <c r="D61" s="50" t="n"/>
      <c r="E61" s="50" t="n"/>
      <c r="F61" s="50" t="n"/>
      <c r="G61" s="50" t="n"/>
      <c r="H61" s="50" t="n"/>
      <c r="I61" s="50" t="n"/>
      <c r="J61" s="50" t="n"/>
      <c r="K61" s="51" t="n"/>
      <c r="L61" s="51" t="n"/>
      <c r="M61" s="51" t="n"/>
      <c r="N61" s="50" t="n"/>
      <c r="O61" s="49">
        <f>IF($E61="","",IFERROR(INDEX(Tipos!$C$5:$C$51,MATCH($E61,Tipos!$A$5:$A$51,0)),"Tipo não encontrado"))</f>
        <v/>
      </c>
      <c r="P61" s="49">
        <f>IF($E61="","",IFERROR(INDEX(Tipos!$D$5:$D$51,MATCH($E61,Tipos!$A$5:$A$51,0)),""))</f>
        <v/>
      </c>
      <c r="Q61" s="49">
        <f>IF(COUNTA($B61:$F61)=0,"",IF($B61="","Falta Área",IF($C61="","Falta Setor",IF($D61="","Falta Equipamento",IF($E61="","Falta Tipo",IF($F61="","Falta Categoria",IF(COUNTIF($D$4:$D$303,$D61)&gt;1,"Nome repetido: diferencie (01, 02…)",IF(AND(ISNUMBER(SEARCH("Temperatura",$P61)),OR($L61="",$M61="")),"Falta faixa de temperatura",IF(AND(ISNUMBER($L61),ISNUMBER($M61),$L61&gt;$M61),"Temp. mínima maior que a máxima","OK")))))))))</f>
        <v/>
      </c>
      <c r="R61" s="49">
        <f>IF($E61="","",IFERROR(INDEX(Tipos!$B$5:$B$51,MATCH($E61,Tipos!$A$5:$A$51,0)),""))</f>
        <v/>
      </c>
    </row>
    <row r="62" ht="15" customHeight="1" s="33">
      <c r="A62" s="50" t="inlineStr">
        <is>
          <t>RioMar Recife</t>
        </is>
      </c>
      <c r="B62" s="50" t="n"/>
      <c r="C62" s="50" t="n"/>
      <c r="D62" s="50" t="n"/>
      <c r="E62" s="50" t="n"/>
      <c r="F62" s="50" t="n"/>
      <c r="G62" s="50" t="n"/>
      <c r="H62" s="50" t="n"/>
      <c r="I62" s="50" t="n"/>
      <c r="J62" s="50" t="n"/>
      <c r="K62" s="51" t="n"/>
      <c r="L62" s="51" t="n"/>
      <c r="M62" s="51" t="n"/>
      <c r="N62" s="50" t="n"/>
      <c r="O62" s="49">
        <f>IF($E62="","",IFERROR(INDEX(Tipos!$C$5:$C$51,MATCH($E62,Tipos!$A$5:$A$51,0)),"Tipo não encontrado"))</f>
        <v/>
      </c>
      <c r="P62" s="49">
        <f>IF($E62="","",IFERROR(INDEX(Tipos!$D$5:$D$51,MATCH($E62,Tipos!$A$5:$A$51,0)),""))</f>
        <v/>
      </c>
      <c r="Q62" s="49">
        <f>IF(COUNTA($B62:$F62)=0,"",IF($B62="","Falta Área",IF($C62="","Falta Setor",IF($D62="","Falta Equipamento",IF($E62="","Falta Tipo",IF($F62="","Falta Categoria",IF(COUNTIF($D$4:$D$303,$D62)&gt;1,"Nome repetido: diferencie (01, 02…)",IF(AND(ISNUMBER(SEARCH("Temperatura",$P62)),OR($L62="",$M62="")),"Falta faixa de temperatura",IF(AND(ISNUMBER($L62),ISNUMBER($M62),$L62&gt;$M62),"Temp. mínima maior que a máxima","OK")))))))))</f>
        <v/>
      </c>
      <c r="R62" s="49">
        <f>IF($E62="","",IFERROR(INDEX(Tipos!$B$5:$B$51,MATCH($E62,Tipos!$A$5:$A$51,0)),""))</f>
        <v/>
      </c>
    </row>
    <row r="63" ht="15" customHeight="1" s="33">
      <c r="A63" s="50" t="inlineStr">
        <is>
          <t>RioMar Recife</t>
        </is>
      </c>
      <c r="B63" s="50" t="n"/>
      <c r="C63" s="50" t="n"/>
      <c r="D63" s="50" t="n"/>
      <c r="E63" s="50" t="n"/>
      <c r="F63" s="50" t="n"/>
      <c r="G63" s="50" t="n"/>
      <c r="H63" s="50" t="n"/>
      <c r="I63" s="50" t="n"/>
      <c r="J63" s="50" t="n"/>
      <c r="K63" s="51" t="n"/>
      <c r="L63" s="51" t="n"/>
      <c r="M63" s="51" t="n"/>
      <c r="N63" s="50" t="n"/>
      <c r="O63" s="49">
        <f>IF($E63="","",IFERROR(INDEX(Tipos!$C$5:$C$51,MATCH($E63,Tipos!$A$5:$A$51,0)),"Tipo não encontrado"))</f>
        <v/>
      </c>
      <c r="P63" s="49">
        <f>IF($E63="","",IFERROR(INDEX(Tipos!$D$5:$D$51,MATCH($E63,Tipos!$A$5:$A$51,0)),""))</f>
        <v/>
      </c>
      <c r="Q63" s="49">
        <f>IF(COUNTA($B63:$F63)=0,"",IF($B63="","Falta Área",IF($C63="","Falta Setor",IF($D63="","Falta Equipamento",IF($E63="","Falta Tipo",IF($F63="","Falta Categoria",IF(COUNTIF($D$4:$D$303,$D63)&gt;1,"Nome repetido: diferencie (01, 02…)",IF(AND(ISNUMBER(SEARCH("Temperatura",$P63)),OR($L63="",$M63="")),"Falta faixa de temperatura",IF(AND(ISNUMBER($L63),ISNUMBER($M63),$L63&gt;$M63),"Temp. mínima maior que a máxima","OK")))))))))</f>
        <v/>
      </c>
      <c r="R63" s="49">
        <f>IF($E63="","",IFERROR(INDEX(Tipos!$B$5:$B$51,MATCH($E63,Tipos!$A$5:$A$51,0)),""))</f>
        <v/>
      </c>
    </row>
    <row r="64" ht="15" customHeight="1" s="33">
      <c r="A64" s="50" t="inlineStr">
        <is>
          <t>RioMar Recife</t>
        </is>
      </c>
      <c r="B64" s="50" t="n"/>
      <c r="C64" s="50" t="n"/>
      <c r="D64" s="50" t="n"/>
      <c r="E64" s="50" t="n"/>
      <c r="F64" s="50" t="n"/>
      <c r="G64" s="50" t="n"/>
      <c r="H64" s="50" t="n"/>
      <c r="I64" s="50" t="n"/>
      <c r="J64" s="50" t="n"/>
      <c r="K64" s="51" t="n"/>
      <c r="L64" s="51" t="n"/>
      <c r="M64" s="51" t="n"/>
      <c r="N64" s="50" t="n"/>
      <c r="O64" s="49">
        <f>IF($E64="","",IFERROR(INDEX(Tipos!$C$5:$C$51,MATCH($E64,Tipos!$A$5:$A$51,0)),"Tipo não encontrado"))</f>
        <v/>
      </c>
      <c r="P64" s="49">
        <f>IF($E64="","",IFERROR(INDEX(Tipos!$D$5:$D$51,MATCH($E64,Tipos!$A$5:$A$51,0)),""))</f>
        <v/>
      </c>
      <c r="Q64" s="49">
        <f>IF(COUNTA($B64:$F64)=0,"",IF($B64="","Falta Área",IF($C64="","Falta Setor",IF($D64="","Falta Equipamento",IF($E64="","Falta Tipo",IF($F64="","Falta Categoria",IF(COUNTIF($D$4:$D$303,$D64)&gt;1,"Nome repetido: diferencie (01, 02…)",IF(AND(ISNUMBER(SEARCH("Temperatura",$P64)),OR($L64="",$M64="")),"Falta faixa de temperatura",IF(AND(ISNUMBER($L64),ISNUMBER($M64),$L64&gt;$M64),"Temp. mínima maior que a máxima","OK")))))))))</f>
        <v/>
      </c>
      <c r="R64" s="49">
        <f>IF($E64="","",IFERROR(INDEX(Tipos!$B$5:$B$51,MATCH($E64,Tipos!$A$5:$A$51,0)),""))</f>
        <v/>
      </c>
    </row>
    <row r="65" ht="15" customHeight="1" s="33">
      <c r="A65" s="50" t="inlineStr">
        <is>
          <t>RioMar Recife</t>
        </is>
      </c>
      <c r="B65" s="50" t="n"/>
      <c r="C65" s="50" t="n"/>
      <c r="D65" s="50" t="n"/>
      <c r="E65" s="50" t="n"/>
      <c r="F65" s="50" t="n"/>
      <c r="G65" s="50" t="n"/>
      <c r="H65" s="50" t="n"/>
      <c r="I65" s="50" t="n"/>
      <c r="J65" s="50" t="n"/>
      <c r="K65" s="51" t="n"/>
      <c r="L65" s="51" t="n"/>
      <c r="M65" s="51" t="n"/>
      <c r="N65" s="50" t="n"/>
      <c r="O65" s="49">
        <f>IF($E65="","",IFERROR(INDEX(Tipos!$C$5:$C$51,MATCH($E65,Tipos!$A$5:$A$51,0)),"Tipo não encontrado"))</f>
        <v/>
      </c>
      <c r="P65" s="49">
        <f>IF($E65="","",IFERROR(INDEX(Tipos!$D$5:$D$51,MATCH($E65,Tipos!$A$5:$A$51,0)),""))</f>
        <v/>
      </c>
      <c r="Q65" s="49">
        <f>IF(COUNTA($B65:$F65)=0,"",IF($B65="","Falta Área",IF($C65="","Falta Setor",IF($D65="","Falta Equipamento",IF($E65="","Falta Tipo",IF($F65="","Falta Categoria",IF(COUNTIF($D$4:$D$303,$D65)&gt;1,"Nome repetido: diferencie (01, 02…)",IF(AND(ISNUMBER(SEARCH("Temperatura",$P65)),OR($L65="",$M65="")),"Falta faixa de temperatura",IF(AND(ISNUMBER($L65),ISNUMBER($M65),$L65&gt;$M65),"Temp. mínima maior que a máxima","OK")))))))))</f>
        <v/>
      </c>
      <c r="R65" s="49">
        <f>IF($E65="","",IFERROR(INDEX(Tipos!$B$5:$B$51,MATCH($E65,Tipos!$A$5:$A$51,0)),""))</f>
        <v/>
      </c>
    </row>
    <row r="66" ht="15" customHeight="1" s="33">
      <c r="A66" s="50" t="inlineStr">
        <is>
          <t>RioMar Recife</t>
        </is>
      </c>
      <c r="B66" s="50" t="n"/>
      <c r="C66" s="50" t="n"/>
      <c r="D66" s="50" t="n"/>
      <c r="E66" s="50" t="n"/>
      <c r="F66" s="50" t="n"/>
      <c r="G66" s="50" t="n"/>
      <c r="H66" s="50" t="n"/>
      <c r="I66" s="50" t="n"/>
      <c r="J66" s="50" t="n"/>
      <c r="K66" s="51" t="n"/>
      <c r="L66" s="51" t="n"/>
      <c r="M66" s="51" t="n"/>
      <c r="N66" s="50" t="n"/>
      <c r="O66" s="49">
        <f>IF($E66="","",IFERROR(INDEX(Tipos!$C$5:$C$51,MATCH($E66,Tipos!$A$5:$A$51,0)),"Tipo não encontrado"))</f>
        <v/>
      </c>
      <c r="P66" s="49">
        <f>IF($E66="","",IFERROR(INDEX(Tipos!$D$5:$D$51,MATCH($E66,Tipos!$A$5:$A$51,0)),""))</f>
        <v/>
      </c>
      <c r="Q66" s="49">
        <f>IF(COUNTA($B66:$F66)=0,"",IF($B66="","Falta Área",IF($C66="","Falta Setor",IF($D66="","Falta Equipamento",IF($E66="","Falta Tipo",IF($F66="","Falta Categoria",IF(COUNTIF($D$4:$D$303,$D66)&gt;1,"Nome repetido: diferencie (01, 02…)",IF(AND(ISNUMBER(SEARCH("Temperatura",$P66)),OR($L66="",$M66="")),"Falta faixa de temperatura",IF(AND(ISNUMBER($L66),ISNUMBER($M66),$L66&gt;$M66),"Temp. mínima maior que a máxima","OK")))))))))</f>
        <v/>
      </c>
      <c r="R66" s="49">
        <f>IF($E66="","",IFERROR(INDEX(Tipos!$B$5:$B$51,MATCH($E66,Tipos!$A$5:$A$51,0)),""))</f>
        <v/>
      </c>
    </row>
    <row r="67" ht="15" customHeight="1" s="33">
      <c r="A67" s="50" t="inlineStr">
        <is>
          <t>RioMar Recife</t>
        </is>
      </c>
      <c r="B67" s="50" t="n"/>
      <c r="C67" s="50" t="n"/>
      <c r="D67" s="50" t="n"/>
      <c r="E67" s="50" t="n"/>
      <c r="F67" s="50" t="n"/>
      <c r="G67" s="50" t="n"/>
      <c r="H67" s="50" t="n"/>
      <c r="I67" s="50" t="n"/>
      <c r="J67" s="50" t="n"/>
      <c r="K67" s="51" t="n"/>
      <c r="L67" s="51" t="n"/>
      <c r="M67" s="51" t="n"/>
      <c r="N67" s="50" t="n"/>
      <c r="O67" s="49">
        <f>IF($E67="","",IFERROR(INDEX(Tipos!$C$5:$C$51,MATCH($E67,Tipos!$A$5:$A$51,0)),"Tipo não encontrado"))</f>
        <v/>
      </c>
      <c r="P67" s="49">
        <f>IF($E67="","",IFERROR(INDEX(Tipos!$D$5:$D$51,MATCH($E67,Tipos!$A$5:$A$51,0)),""))</f>
        <v/>
      </c>
      <c r="Q67" s="49">
        <f>IF(COUNTA($B67:$F67)=0,"",IF($B67="","Falta Área",IF($C67="","Falta Setor",IF($D67="","Falta Equipamento",IF($E67="","Falta Tipo",IF($F67="","Falta Categoria",IF(COUNTIF($D$4:$D$303,$D67)&gt;1,"Nome repetido: diferencie (01, 02…)",IF(AND(ISNUMBER(SEARCH("Temperatura",$P67)),OR($L67="",$M67="")),"Falta faixa de temperatura",IF(AND(ISNUMBER($L67),ISNUMBER($M67),$L67&gt;$M67),"Temp. mínima maior que a máxima","OK")))))))))</f>
        <v/>
      </c>
      <c r="R67" s="49">
        <f>IF($E67="","",IFERROR(INDEX(Tipos!$B$5:$B$51,MATCH($E67,Tipos!$A$5:$A$51,0)),""))</f>
        <v/>
      </c>
    </row>
    <row r="68" ht="15" customHeight="1" s="33">
      <c r="A68" s="50" t="inlineStr">
        <is>
          <t>RioMar Recife</t>
        </is>
      </c>
      <c r="B68" s="50" t="n"/>
      <c r="C68" s="50" t="n"/>
      <c r="D68" s="50" t="n"/>
      <c r="E68" s="50" t="n"/>
      <c r="F68" s="50" t="n"/>
      <c r="G68" s="50" t="n"/>
      <c r="H68" s="50" t="n"/>
      <c r="I68" s="50" t="n"/>
      <c r="J68" s="50" t="n"/>
      <c r="K68" s="51" t="n"/>
      <c r="L68" s="51" t="n"/>
      <c r="M68" s="51" t="n"/>
      <c r="N68" s="50" t="n"/>
      <c r="O68" s="49">
        <f>IF($E68="","",IFERROR(INDEX(Tipos!$C$5:$C$51,MATCH($E68,Tipos!$A$5:$A$51,0)),"Tipo não encontrado"))</f>
        <v/>
      </c>
      <c r="P68" s="49">
        <f>IF($E68="","",IFERROR(INDEX(Tipos!$D$5:$D$51,MATCH($E68,Tipos!$A$5:$A$51,0)),""))</f>
        <v/>
      </c>
      <c r="Q68" s="49">
        <f>IF(COUNTA($B68:$F68)=0,"",IF($B68="","Falta Área",IF($C68="","Falta Setor",IF($D68="","Falta Equipamento",IF($E68="","Falta Tipo",IF($F68="","Falta Categoria",IF(COUNTIF($D$4:$D$303,$D68)&gt;1,"Nome repetido: diferencie (01, 02…)",IF(AND(ISNUMBER(SEARCH("Temperatura",$P68)),OR($L68="",$M68="")),"Falta faixa de temperatura",IF(AND(ISNUMBER($L68),ISNUMBER($M68),$L68&gt;$M68),"Temp. mínima maior que a máxima","OK")))))))))</f>
        <v/>
      </c>
      <c r="R68" s="49">
        <f>IF($E68="","",IFERROR(INDEX(Tipos!$B$5:$B$51,MATCH($E68,Tipos!$A$5:$A$51,0)),""))</f>
        <v/>
      </c>
    </row>
    <row r="69" ht="15" customHeight="1" s="33">
      <c r="A69" s="50" t="inlineStr">
        <is>
          <t>RioMar Recife</t>
        </is>
      </c>
      <c r="B69" s="50" t="n"/>
      <c r="C69" s="50" t="n"/>
      <c r="D69" s="50" t="n"/>
      <c r="E69" s="50" t="n"/>
      <c r="F69" s="50" t="n"/>
      <c r="G69" s="50" t="n"/>
      <c r="H69" s="50" t="n"/>
      <c r="I69" s="50" t="n"/>
      <c r="J69" s="50" t="n"/>
      <c r="K69" s="51" t="n"/>
      <c r="L69" s="51" t="n"/>
      <c r="M69" s="51" t="n"/>
      <c r="N69" s="50" t="n"/>
      <c r="O69" s="49">
        <f>IF($E69="","",IFERROR(INDEX(Tipos!$C$5:$C$51,MATCH($E69,Tipos!$A$5:$A$51,0)),"Tipo não encontrado"))</f>
        <v/>
      </c>
      <c r="P69" s="49">
        <f>IF($E69="","",IFERROR(INDEX(Tipos!$D$5:$D$51,MATCH($E69,Tipos!$A$5:$A$51,0)),""))</f>
        <v/>
      </c>
      <c r="Q69" s="49">
        <f>IF(COUNTA($B69:$F69)=0,"",IF($B69="","Falta Área",IF($C69="","Falta Setor",IF($D69="","Falta Equipamento",IF($E69="","Falta Tipo",IF($F69="","Falta Categoria",IF(COUNTIF($D$4:$D$303,$D69)&gt;1,"Nome repetido: diferencie (01, 02…)",IF(AND(ISNUMBER(SEARCH("Temperatura",$P69)),OR($L69="",$M69="")),"Falta faixa de temperatura",IF(AND(ISNUMBER($L69),ISNUMBER($M69),$L69&gt;$M69),"Temp. mínima maior que a máxima","OK")))))))))</f>
        <v/>
      </c>
      <c r="R69" s="49">
        <f>IF($E69="","",IFERROR(INDEX(Tipos!$B$5:$B$51,MATCH($E69,Tipos!$A$5:$A$51,0)),""))</f>
        <v/>
      </c>
    </row>
    <row r="70" ht="15" customHeight="1" s="33">
      <c r="A70" s="50" t="inlineStr">
        <is>
          <t>RioMar Recife</t>
        </is>
      </c>
      <c r="B70" s="50" t="n"/>
      <c r="C70" s="50" t="n"/>
      <c r="D70" s="50" t="n"/>
      <c r="E70" s="50" t="n"/>
      <c r="F70" s="50" t="n"/>
      <c r="G70" s="50" t="n"/>
      <c r="H70" s="50" t="n"/>
      <c r="I70" s="50" t="n"/>
      <c r="J70" s="50" t="n"/>
      <c r="K70" s="51" t="n"/>
      <c r="L70" s="51" t="n"/>
      <c r="M70" s="51" t="n"/>
      <c r="N70" s="50" t="n"/>
      <c r="O70" s="49">
        <f>IF($E70="","",IFERROR(INDEX(Tipos!$C$5:$C$51,MATCH($E70,Tipos!$A$5:$A$51,0)),"Tipo não encontrado"))</f>
        <v/>
      </c>
      <c r="P70" s="49">
        <f>IF($E70="","",IFERROR(INDEX(Tipos!$D$5:$D$51,MATCH($E70,Tipos!$A$5:$A$51,0)),""))</f>
        <v/>
      </c>
      <c r="Q70" s="49">
        <f>IF(COUNTA($B70:$F70)=0,"",IF($B70="","Falta Área",IF($C70="","Falta Setor",IF($D70="","Falta Equipamento",IF($E70="","Falta Tipo",IF($F70="","Falta Categoria",IF(COUNTIF($D$4:$D$303,$D70)&gt;1,"Nome repetido: diferencie (01, 02…)",IF(AND(ISNUMBER(SEARCH("Temperatura",$P70)),OR($L70="",$M70="")),"Falta faixa de temperatura",IF(AND(ISNUMBER($L70),ISNUMBER($M70),$L70&gt;$M70),"Temp. mínima maior que a máxima","OK")))))))))</f>
        <v/>
      </c>
      <c r="R70" s="49">
        <f>IF($E70="","",IFERROR(INDEX(Tipos!$B$5:$B$51,MATCH($E70,Tipos!$A$5:$A$51,0)),""))</f>
        <v/>
      </c>
    </row>
    <row r="71" ht="15" customHeight="1" s="33">
      <c r="A71" s="50" t="inlineStr">
        <is>
          <t>RioMar Recife</t>
        </is>
      </c>
      <c r="B71" s="50" t="n"/>
      <c r="C71" s="50" t="n"/>
      <c r="D71" s="50" t="n"/>
      <c r="E71" s="50" t="n"/>
      <c r="F71" s="50" t="n"/>
      <c r="G71" s="50" t="n"/>
      <c r="H71" s="50" t="n"/>
      <c r="I71" s="50" t="n"/>
      <c r="J71" s="50" t="n"/>
      <c r="K71" s="51" t="n"/>
      <c r="L71" s="51" t="n"/>
      <c r="M71" s="51" t="n"/>
      <c r="N71" s="50" t="n"/>
      <c r="O71" s="49">
        <f>IF($E71="","",IFERROR(INDEX(Tipos!$C$5:$C$51,MATCH($E71,Tipos!$A$5:$A$51,0)),"Tipo não encontrado"))</f>
        <v/>
      </c>
      <c r="P71" s="49">
        <f>IF($E71="","",IFERROR(INDEX(Tipos!$D$5:$D$51,MATCH($E71,Tipos!$A$5:$A$51,0)),""))</f>
        <v/>
      </c>
      <c r="Q71" s="49">
        <f>IF(COUNTA($B71:$F71)=0,"",IF($B71="","Falta Área",IF($C71="","Falta Setor",IF($D71="","Falta Equipamento",IF($E71="","Falta Tipo",IF($F71="","Falta Categoria",IF(COUNTIF($D$4:$D$303,$D71)&gt;1,"Nome repetido: diferencie (01, 02…)",IF(AND(ISNUMBER(SEARCH("Temperatura",$P71)),OR($L71="",$M71="")),"Falta faixa de temperatura",IF(AND(ISNUMBER($L71),ISNUMBER($M71),$L71&gt;$M71),"Temp. mínima maior que a máxima","OK")))))))))</f>
        <v/>
      </c>
      <c r="R71" s="49">
        <f>IF($E71="","",IFERROR(INDEX(Tipos!$B$5:$B$51,MATCH($E71,Tipos!$A$5:$A$51,0)),""))</f>
        <v/>
      </c>
    </row>
    <row r="72" ht="15" customHeight="1" s="33">
      <c r="A72" s="50" t="inlineStr">
        <is>
          <t>RioMar Recife</t>
        </is>
      </c>
      <c r="B72" s="50" t="n"/>
      <c r="C72" s="50" t="n"/>
      <c r="D72" s="50" t="n"/>
      <c r="E72" s="50" t="n"/>
      <c r="F72" s="50" t="n"/>
      <c r="G72" s="50" t="n"/>
      <c r="H72" s="50" t="n"/>
      <c r="I72" s="50" t="n"/>
      <c r="J72" s="50" t="n"/>
      <c r="K72" s="51" t="n"/>
      <c r="L72" s="51" t="n"/>
      <c r="M72" s="51" t="n"/>
      <c r="N72" s="50" t="n"/>
      <c r="O72" s="49">
        <f>IF($E72="","",IFERROR(INDEX(Tipos!$C$5:$C$51,MATCH($E72,Tipos!$A$5:$A$51,0)),"Tipo não encontrado"))</f>
        <v/>
      </c>
      <c r="P72" s="49">
        <f>IF($E72="","",IFERROR(INDEX(Tipos!$D$5:$D$51,MATCH($E72,Tipos!$A$5:$A$51,0)),""))</f>
        <v/>
      </c>
      <c r="Q72" s="49">
        <f>IF(COUNTA($B72:$F72)=0,"",IF($B72="","Falta Área",IF($C72="","Falta Setor",IF($D72="","Falta Equipamento",IF($E72="","Falta Tipo",IF($F72="","Falta Categoria",IF(COUNTIF($D$4:$D$303,$D72)&gt;1,"Nome repetido: diferencie (01, 02…)",IF(AND(ISNUMBER(SEARCH("Temperatura",$P72)),OR($L72="",$M72="")),"Falta faixa de temperatura",IF(AND(ISNUMBER($L72),ISNUMBER($M72),$L72&gt;$M72),"Temp. mínima maior que a máxima","OK")))))))))</f>
        <v/>
      </c>
      <c r="R72" s="49">
        <f>IF($E72="","",IFERROR(INDEX(Tipos!$B$5:$B$51,MATCH($E72,Tipos!$A$5:$A$51,0)),""))</f>
        <v/>
      </c>
    </row>
    <row r="73" ht="15" customHeight="1" s="33">
      <c r="A73" s="50" t="inlineStr">
        <is>
          <t>RioMar Recife</t>
        </is>
      </c>
      <c r="B73" s="50" t="n"/>
      <c r="C73" s="50" t="n"/>
      <c r="D73" s="50" t="n"/>
      <c r="E73" s="50" t="n"/>
      <c r="F73" s="50" t="n"/>
      <c r="G73" s="50" t="n"/>
      <c r="H73" s="50" t="n"/>
      <c r="I73" s="50" t="n"/>
      <c r="J73" s="50" t="n"/>
      <c r="K73" s="51" t="n"/>
      <c r="L73" s="51" t="n"/>
      <c r="M73" s="51" t="n"/>
      <c r="N73" s="50" t="n"/>
      <c r="O73" s="49">
        <f>IF($E73="","",IFERROR(INDEX(Tipos!$C$5:$C$51,MATCH($E73,Tipos!$A$5:$A$51,0)),"Tipo não encontrado"))</f>
        <v/>
      </c>
      <c r="P73" s="49">
        <f>IF($E73="","",IFERROR(INDEX(Tipos!$D$5:$D$51,MATCH($E73,Tipos!$A$5:$A$51,0)),""))</f>
        <v/>
      </c>
      <c r="Q73" s="49">
        <f>IF(COUNTA($B73:$F73)=0,"",IF($B73="","Falta Área",IF($C73="","Falta Setor",IF($D73="","Falta Equipamento",IF($E73="","Falta Tipo",IF($F73="","Falta Categoria",IF(COUNTIF($D$4:$D$303,$D73)&gt;1,"Nome repetido: diferencie (01, 02…)",IF(AND(ISNUMBER(SEARCH("Temperatura",$P73)),OR($L73="",$M73="")),"Falta faixa de temperatura",IF(AND(ISNUMBER($L73),ISNUMBER($M73),$L73&gt;$M73),"Temp. mínima maior que a máxima","OK")))))))))</f>
        <v/>
      </c>
      <c r="R73" s="49">
        <f>IF($E73="","",IFERROR(INDEX(Tipos!$B$5:$B$51,MATCH($E73,Tipos!$A$5:$A$51,0)),""))</f>
        <v/>
      </c>
    </row>
    <row r="74" ht="15" customHeight="1" s="33">
      <c r="A74" s="50" t="inlineStr">
        <is>
          <t>RioMar Recife</t>
        </is>
      </c>
      <c r="B74" s="50" t="n"/>
      <c r="C74" s="50" t="n"/>
      <c r="D74" s="50" t="n"/>
      <c r="E74" s="50" t="n"/>
      <c r="F74" s="50" t="n"/>
      <c r="G74" s="50" t="n"/>
      <c r="H74" s="50" t="n"/>
      <c r="I74" s="50" t="n"/>
      <c r="J74" s="50" t="n"/>
      <c r="K74" s="51" t="n"/>
      <c r="L74" s="51" t="n"/>
      <c r="M74" s="51" t="n"/>
      <c r="N74" s="50" t="n"/>
      <c r="O74" s="49">
        <f>IF($E74="","",IFERROR(INDEX(Tipos!$C$5:$C$51,MATCH($E74,Tipos!$A$5:$A$51,0)),"Tipo não encontrado"))</f>
        <v/>
      </c>
      <c r="P74" s="49">
        <f>IF($E74="","",IFERROR(INDEX(Tipos!$D$5:$D$51,MATCH($E74,Tipos!$A$5:$A$51,0)),""))</f>
        <v/>
      </c>
      <c r="Q74" s="49">
        <f>IF(COUNTA($B74:$F74)=0,"",IF($B74="","Falta Área",IF($C74="","Falta Setor",IF($D74="","Falta Equipamento",IF($E74="","Falta Tipo",IF($F74="","Falta Categoria",IF(COUNTIF($D$4:$D$303,$D74)&gt;1,"Nome repetido: diferencie (01, 02…)",IF(AND(ISNUMBER(SEARCH("Temperatura",$P74)),OR($L74="",$M74="")),"Falta faixa de temperatura",IF(AND(ISNUMBER($L74),ISNUMBER($M74),$L74&gt;$M74),"Temp. mínima maior que a máxima","OK")))))))))</f>
        <v/>
      </c>
      <c r="R74" s="49">
        <f>IF($E74="","",IFERROR(INDEX(Tipos!$B$5:$B$51,MATCH($E74,Tipos!$A$5:$A$51,0)),""))</f>
        <v/>
      </c>
    </row>
    <row r="75" ht="15" customHeight="1" s="33">
      <c r="A75" s="50" t="inlineStr">
        <is>
          <t>RioMar Recife</t>
        </is>
      </c>
      <c r="B75" s="50" t="n"/>
      <c r="C75" s="50" t="n"/>
      <c r="D75" s="50" t="n"/>
      <c r="E75" s="50" t="n"/>
      <c r="F75" s="50" t="n"/>
      <c r="G75" s="50" t="n"/>
      <c r="H75" s="50" t="n"/>
      <c r="I75" s="50" t="n"/>
      <c r="J75" s="50" t="n"/>
      <c r="K75" s="51" t="n"/>
      <c r="L75" s="51" t="n"/>
      <c r="M75" s="51" t="n"/>
      <c r="N75" s="50" t="n"/>
      <c r="O75" s="49">
        <f>IF($E75="","",IFERROR(INDEX(Tipos!$C$5:$C$51,MATCH($E75,Tipos!$A$5:$A$51,0)),"Tipo não encontrado"))</f>
        <v/>
      </c>
      <c r="P75" s="49">
        <f>IF($E75="","",IFERROR(INDEX(Tipos!$D$5:$D$51,MATCH($E75,Tipos!$A$5:$A$51,0)),""))</f>
        <v/>
      </c>
      <c r="Q75" s="49">
        <f>IF(COUNTA($B75:$F75)=0,"",IF($B75="","Falta Área",IF($C75="","Falta Setor",IF($D75="","Falta Equipamento",IF($E75="","Falta Tipo",IF($F75="","Falta Categoria",IF(COUNTIF($D$4:$D$303,$D75)&gt;1,"Nome repetido: diferencie (01, 02…)",IF(AND(ISNUMBER(SEARCH("Temperatura",$P75)),OR($L75="",$M75="")),"Falta faixa de temperatura",IF(AND(ISNUMBER($L75),ISNUMBER($M75),$L75&gt;$M75),"Temp. mínima maior que a máxima","OK")))))))))</f>
        <v/>
      </c>
      <c r="R75" s="49">
        <f>IF($E75="","",IFERROR(INDEX(Tipos!$B$5:$B$51,MATCH($E75,Tipos!$A$5:$A$51,0)),""))</f>
        <v/>
      </c>
    </row>
    <row r="76" ht="15" customHeight="1" s="33">
      <c r="A76" s="50" t="inlineStr">
        <is>
          <t>RioMar Recife</t>
        </is>
      </c>
      <c r="B76" s="50" t="n"/>
      <c r="C76" s="50" t="n"/>
      <c r="D76" s="50" t="n"/>
      <c r="E76" s="50" t="n"/>
      <c r="F76" s="50" t="n"/>
      <c r="G76" s="50" t="n"/>
      <c r="H76" s="50" t="n"/>
      <c r="I76" s="50" t="n"/>
      <c r="J76" s="50" t="n"/>
      <c r="K76" s="51" t="n"/>
      <c r="L76" s="51" t="n"/>
      <c r="M76" s="51" t="n"/>
      <c r="N76" s="50" t="n"/>
      <c r="O76" s="49">
        <f>IF($E76="","",IFERROR(INDEX(Tipos!$C$5:$C$51,MATCH($E76,Tipos!$A$5:$A$51,0)),"Tipo não encontrado"))</f>
        <v/>
      </c>
      <c r="P76" s="49">
        <f>IF($E76="","",IFERROR(INDEX(Tipos!$D$5:$D$51,MATCH($E76,Tipos!$A$5:$A$51,0)),""))</f>
        <v/>
      </c>
      <c r="Q76" s="49">
        <f>IF(COUNTA($B76:$F76)=0,"",IF($B76="","Falta Área",IF($C76="","Falta Setor",IF($D76="","Falta Equipamento",IF($E76="","Falta Tipo",IF($F76="","Falta Categoria",IF(COUNTIF($D$4:$D$303,$D76)&gt;1,"Nome repetido: diferencie (01, 02…)",IF(AND(ISNUMBER(SEARCH("Temperatura",$P76)),OR($L76="",$M76="")),"Falta faixa de temperatura",IF(AND(ISNUMBER($L76),ISNUMBER($M76),$L76&gt;$M76),"Temp. mínima maior que a máxima","OK")))))))))</f>
        <v/>
      </c>
      <c r="R76" s="49">
        <f>IF($E76="","",IFERROR(INDEX(Tipos!$B$5:$B$51,MATCH($E76,Tipos!$A$5:$A$51,0)),""))</f>
        <v/>
      </c>
    </row>
    <row r="77" ht="15" customHeight="1" s="33">
      <c r="A77" s="50" t="inlineStr">
        <is>
          <t>RioMar Recife</t>
        </is>
      </c>
      <c r="B77" s="50" t="n"/>
      <c r="C77" s="50" t="n"/>
      <c r="D77" s="50" t="n"/>
      <c r="E77" s="50" t="n"/>
      <c r="F77" s="50" t="n"/>
      <c r="G77" s="50" t="n"/>
      <c r="H77" s="50" t="n"/>
      <c r="I77" s="50" t="n"/>
      <c r="J77" s="50" t="n"/>
      <c r="K77" s="51" t="n"/>
      <c r="L77" s="51" t="n"/>
      <c r="M77" s="51" t="n"/>
      <c r="N77" s="50" t="n"/>
      <c r="O77" s="49">
        <f>IF($E77="","",IFERROR(INDEX(Tipos!$C$5:$C$51,MATCH($E77,Tipos!$A$5:$A$51,0)),"Tipo não encontrado"))</f>
        <v/>
      </c>
      <c r="P77" s="49">
        <f>IF($E77="","",IFERROR(INDEX(Tipos!$D$5:$D$51,MATCH($E77,Tipos!$A$5:$A$51,0)),""))</f>
        <v/>
      </c>
      <c r="Q77" s="49">
        <f>IF(COUNTA($B77:$F77)=0,"",IF($B77="","Falta Área",IF($C77="","Falta Setor",IF($D77="","Falta Equipamento",IF($E77="","Falta Tipo",IF($F77="","Falta Categoria",IF(COUNTIF($D$4:$D$303,$D77)&gt;1,"Nome repetido: diferencie (01, 02…)",IF(AND(ISNUMBER(SEARCH("Temperatura",$P77)),OR($L77="",$M77="")),"Falta faixa de temperatura",IF(AND(ISNUMBER($L77),ISNUMBER($M77),$L77&gt;$M77),"Temp. mínima maior que a máxima","OK")))))))))</f>
        <v/>
      </c>
      <c r="R77" s="49">
        <f>IF($E77="","",IFERROR(INDEX(Tipos!$B$5:$B$51,MATCH($E77,Tipos!$A$5:$A$51,0)),""))</f>
        <v/>
      </c>
    </row>
    <row r="78" ht="15" customHeight="1" s="33">
      <c r="A78" s="50" t="inlineStr">
        <is>
          <t>RioMar Recife</t>
        </is>
      </c>
      <c r="B78" s="50" t="n"/>
      <c r="C78" s="50" t="n"/>
      <c r="D78" s="50" t="n"/>
      <c r="E78" s="50" t="n"/>
      <c r="F78" s="50" t="n"/>
      <c r="G78" s="50" t="n"/>
      <c r="H78" s="50" t="n"/>
      <c r="I78" s="50" t="n"/>
      <c r="J78" s="50" t="n"/>
      <c r="K78" s="51" t="n"/>
      <c r="L78" s="51" t="n"/>
      <c r="M78" s="51" t="n"/>
      <c r="N78" s="50" t="n"/>
      <c r="O78" s="49">
        <f>IF($E78="","",IFERROR(INDEX(Tipos!$C$5:$C$51,MATCH($E78,Tipos!$A$5:$A$51,0)),"Tipo não encontrado"))</f>
        <v/>
      </c>
      <c r="P78" s="49">
        <f>IF($E78="","",IFERROR(INDEX(Tipos!$D$5:$D$51,MATCH($E78,Tipos!$A$5:$A$51,0)),""))</f>
        <v/>
      </c>
      <c r="Q78" s="49">
        <f>IF(COUNTA($B78:$F78)=0,"",IF($B78="","Falta Área",IF($C78="","Falta Setor",IF($D78="","Falta Equipamento",IF($E78="","Falta Tipo",IF($F78="","Falta Categoria",IF(COUNTIF($D$4:$D$303,$D78)&gt;1,"Nome repetido: diferencie (01, 02…)",IF(AND(ISNUMBER(SEARCH("Temperatura",$P78)),OR($L78="",$M78="")),"Falta faixa de temperatura",IF(AND(ISNUMBER($L78),ISNUMBER($M78),$L78&gt;$M78),"Temp. mínima maior que a máxima","OK")))))))))</f>
        <v/>
      </c>
      <c r="R78" s="49">
        <f>IF($E78="","",IFERROR(INDEX(Tipos!$B$5:$B$51,MATCH($E78,Tipos!$A$5:$A$51,0)),""))</f>
        <v/>
      </c>
    </row>
    <row r="79" ht="15" customHeight="1" s="33">
      <c r="A79" s="50" t="inlineStr">
        <is>
          <t>RioMar Recife</t>
        </is>
      </c>
      <c r="B79" s="50" t="n"/>
      <c r="C79" s="50" t="n"/>
      <c r="D79" s="50" t="n"/>
      <c r="E79" s="50" t="n"/>
      <c r="F79" s="50" t="n"/>
      <c r="G79" s="50" t="n"/>
      <c r="H79" s="50" t="n"/>
      <c r="I79" s="50" t="n"/>
      <c r="J79" s="50" t="n"/>
      <c r="K79" s="51" t="n"/>
      <c r="L79" s="51" t="n"/>
      <c r="M79" s="51" t="n"/>
      <c r="N79" s="50" t="n"/>
      <c r="O79" s="49">
        <f>IF($E79="","",IFERROR(INDEX(Tipos!$C$5:$C$51,MATCH($E79,Tipos!$A$5:$A$51,0)),"Tipo não encontrado"))</f>
        <v/>
      </c>
      <c r="P79" s="49">
        <f>IF($E79="","",IFERROR(INDEX(Tipos!$D$5:$D$51,MATCH($E79,Tipos!$A$5:$A$51,0)),""))</f>
        <v/>
      </c>
      <c r="Q79" s="49">
        <f>IF(COUNTA($B79:$F79)=0,"",IF($B79="","Falta Área",IF($C79="","Falta Setor",IF($D79="","Falta Equipamento",IF($E79="","Falta Tipo",IF($F79="","Falta Categoria",IF(COUNTIF($D$4:$D$303,$D79)&gt;1,"Nome repetido: diferencie (01, 02…)",IF(AND(ISNUMBER(SEARCH("Temperatura",$P79)),OR($L79="",$M79="")),"Falta faixa de temperatura",IF(AND(ISNUMBER($L79),ISNUMBER($M79),$L79&gt;$M79),"Temp. mínima maior que a máxima","OK")))))))))</f>
        <v/>
      </c>
      <c r="R79" s="49">
        <f>IF($E79="","",IFERROR(INDEX(Tipos!$B$5:$B$51,MATCH($E79,Tipos!$A$5:$A$51,0)),""))</f>
        <v/>
      </c>
    </row>
    <row r="80" ht="15" customHeight="1" s="33">
      <c r="A80" s="50" t="inlineStr">
        <is>
          <t>RioMar Recife</t>
        </is>
      </c>
      <c r="B80" s="50" t="n"/>
      <c r="C80" s="50" t="n"/>
      <c r="D80" s="50" t="n"/>
      <c r="E80" s="50" t="n"/>
      <c r="F80" s="50" t="n"/>
      <c r="G80" s="50" t="n"/>
      <c r="H80" s="50" t="n"/>
      <c r="I80" s="50" t="n"/>
      <c r="J80" s="50" t="n"/>
      <c r="K80" s="51" t="n"/>
      <c r="L80" s="51" t="n"/>
      <c r="M80" s="51" t="n"/>
      <c r="N80" s="50" t="n"/>
      <c r="O80" s="49">
        <f>IF($E80="","",IFERROR(INDEX(Tipos!$C$5:$C$51,MATCH($E80,Tipos!$A$5:$A$51,0)),"Tipo não encontrado"))</f>
        <v/>
      </c>
      <c r="P80" s="49">
        <f>IF($E80="","",IFERROR(INDEX(Tipos!$D$5:$D$51,MATCH($E80,Tipos!$A$5:$A$51,0)),""))</f>
        <v/>
      </c>
      <c r="Q80" s="49">
        <f>IF(COUNTA($B80:$F80)=0,"",IF($B80="","Falta Área",IF($C80="","Falta Setor",IF($D80="","Falta Equipamento",IF($E80="","Falta Tipo",IF($F80="","Falta Categoria",IF(COUNTIF($D$4:$D$303,$D80)&gt;1,"Nome repetido: diferencie (01, 02…)",IF(AND(ISNUMBER(SEARCH("Temperatura",$P80)),OR($L80="",$M80="")),"Falta faixa de temperatura",IF(AND(ISNUMBER($L80),ISNUMBER($M80),$L80&gt;$M80),"Temp. mínima maior que a máxima","OK")))))))))</f>
        <v/>
      </c>
      <c r="R80" s="49">
        <f>IF($E80="","",IFERROR(INDEX(Tipos!$B$5:$B$51,MATCH($E80,Tipos!$A$5:$A$51,0)),""))</f>
        <v/>
      </c>
    </row>
    <row r="81" ht="15" customHeight="1" s="33">
      <c r="A81" s="50" t="inlineStr">
        <is>
          <t>RioMar Recife</t>
        </is>
      </c>
      <c r="B81" s="50" t="n"/>
      <c r="C81" s="50" t="n"/>
      <c r="D81" s="50" t="n"/>
      <c r="E81" s="50" t="n"/>
      <c r="F81" s="50" t="n"/>
      <c r="G81" s="50" t="n"/>
      <c r="H81" s="50" t="n"/>
      <c r="I81" s="50" t="n"/>
      <c r="J81" s="50" t="n"/>
      <c r="K81" s="51" t="n"/>
      <c r="L81" s="51" t="n"/>
      <c r="M81" s="51" t="n"/>
      <c r="N81" s="50" t="n"/>
      <c r="O81" s="49">
        <f>IF($E81="","",IFERROR(INDEX(Tipos!$C$5:$C$51,MATCH($E81,Tipos!$A$5:$A$51,0)),"Tipo não encontrado"))</f>
        <v/>
      </c>
      <c r="P81" s="49">
        <f>IF($E81="","",IFERROR(INDEX(Tipos!$D$5:$D$51,MATCH($E81,Tipos!$A$5:$A$51,0)),""))</f>
        <v/>
      </c>
      <c r="Q81" s="49">
        <f>IF(COUNTA($B81:$F81)=0,"",IF($B81="","Falta Área",IF($C81="","Falta Setor",IF($D81="","Falta Equipamento",IF($E81="","Falta Tipo",IF($F81="","Falta Categoria",IF(COUNTIF($D$4:$D$303,$D81)&gt;1,"Nome repetido: diferencie (01, 02…)",IF(AND(ISNUMBER(SEARCH("Temperatura",$P81)),OR($L81="",$M81="")),"Falta faixa de temperatura",IF(AND(ISNUMBER($L81),ISNUMBER($M81),$L81&gt;$M81),"Temp. mínima maior que a máxima","OK")))))))))</f>
        <v/>
      </c>
      <c r="R81" s="49">
        <f>IF($E81="","",IFERROR(INDEX(Tipos!$B$5:$B$51,MATCH($E81,Tipos!$A$5:$A$51,0)),""))</f>
        <v/>
      </c>
    </row>
    <row r="82" ht="15" customHeight="1" s="33">
      <c r="A82" s="50" t="inlineStr">
        <is>
          <t>RioMar Recife</t>
        </is>
      </c>
      <c r="B82" s="50" t="n"/>
      <c r="C82" s="50" t="n"/>
      <c r="D82" s="50" t="n"/>
      <c r="E82" s="50" t="n"/>
      <c r="F82" s="50" t="n"/>
      <c r="G82" s="50" t="n"/>
      <c r="H82" s="50" t="n"/>
      <c r="I82" s="50" t="n"/>
      <c r="J82" s="50" t="n"/>
      <c r="K82" s="51" t="n"/>
      <c r="L82" s="51" t="n"/>
      <c r="M82" s="51" t="n"/>
      <c r="N82" s="50" t="n"/>
      <c r="O82" s="49">
        <f>IF($E82="","",IFERROR(INDEX(Tipos!$C$5:$C$51,MATCH($E82,Tipos!$A$5:$A$51,0)),"Tipo não encontrado"))</f>
        <v/>
      </c>
      <c r="P82" s="49">
        <f>IF($E82="","",IFERROR(INDEX(Tipos!$D$5:$D$51,MATCH($E82,Tipos!$A$5:$A$51,0)),""))</f>
        <v/>
      </c>
      <c r="Q82" s="49">
        <f>IF(COUNTA($B82:$F82)=0,"",IF($B82="","Falta Área",IF($C82="","Falta Setor",IF($D82="","Falta Equipamento",IF($E82="","Falta Tipo",IF($F82="","Falta Categoria",IF(COUNTIF($D$4:$D$303,$D82)&gt;1,"Nome repetido: diferencie (01, 02…)",IF(AND(ISNUMBER(SEARCH("Temperatura",$P82)),OR($L82="",$M82="")),"Falta faixa de temperatura",IF(AND(ISNUMBER($L82),ISNUMBER($M82),$L82&gt;$M82),"Temp. mínima maior que a máxima","OK")))))))))</f>
        <v/>
      </c>
      <c r="R82" s="49">
        <f>IF($E82="","",IFERROR(INDEX(Tipos!$B$5:$B$51,MATCH($E82,Tipos!$A$5:$A$51,0)),""))</f>
        <v/>
      </c>
    </row>
    <row r="83" ht="15" customHeight="1" s="33">
      <c r="A83" s="50" t="inlineStr">
        <is>
          <t>RioMar Recife</t>
        </is>
      </c>
      <c r="B83" s="50" t="n"/>
      <c r="C83" s="50" t="n"/>
      <c r="D83" s="50" t="n"/>
      <c r="E83" s="50" t="n"/>
      <c r="F83" s="50" t="n"/>
      <c r="G83" s="50" t="n"/>
      <c r="H83" s="50" t="n"/>
      <c r="I83" s="50" t="n"/>
      <c r="J83" s="50" t="n"/>
      <c r="K83" s="51" t="n"/>
      <c r="L83" s="51" t="n"/>
      <c r="M83" s="51" t="n"/>
      <c r="N83" s="50" t="n"/>
      <c r="O83" s="49">
        <f>IF($E83="","",IFERROR(INDEX(Tipos!$C$5:$C$51,MATCH($E83,Tipos!$A$5:$A$51,0)),"Tipo não encontrado"))</f>
        <v/>
      </c>
      <c r="P83" s="49">
        <f>IF($E83="","",IFERROR(INDEX(Tipos!$D$5:$D$51,MATCH($E83,Tipos!$A$5:$A$51,0)),""))</f>
        <v/>
      </c>
      <c r="Q83" s="49">
        <f>IF(COUNTA($B83:$F83)=0,"",IF($B83="","Falta Área",IF($C83="","Falta Setor",IF($D83="","Falta Equipamento",IF($E83="","Falta Tipo",IF($F83="","Falta Categoria",IF(COUNTIF($D$4:$D$303,$D83)&gt;1,"Nome repetido: diferencie (01, 02…)",IF(AND(ISNUMBER(SEARCH("Temperatura",$P83)),OR($L83="",$M83="")),"Falta faixa de temperatura",IF(AND(ISNUMBER($L83),ISNUMBER($M83),$L83&gt;$M83),"Temp. mínima maior que a máxima","OK")))))))))</f>
        <v/>
      </c>
      <c r="R83" s="49">
        <f>IF($E83="","",IFERROR(INDEX(Tipos!$B$5:$B$51,MATCH($E83,Tipos!$A$5:$A$51,0)),""))</f>
        <v/>
      </c>
    </row>
    <row r="84" ht="15" customHeight="1" s="33">
      <c r="A84" s="50" t="inlineStr">
        <is>
          <t>RioMar Recife</t>
        </is>
      </c>
      <c r="B84" s="50" t="n"/>
      <c r="C84" s="50" t="n"/>
      <c r="D84" s="50" t="n"/>
      <c r="E84" s="50" t="n"/>
      <c r="F84" s="50" t="n"/>
      <c r="G84" s="50" t="n"/>
      <c r="H84" s="50" t="n"/>
      <c r="I84" s="50" t="n"/>
      <c r="J84" s="50" t="n"/>
      <c r="K84" s="51" t="n"/>
      <c r="L84" s="51" t="n"/>
      <c r="M84" s="51" t="n"/>
      <c r="N84" s="50" t="n"/>
      <c r="O84" s="49">
        <f>IF($E84="","",IFERROR(INDEX(Tipos!$C$5:$C$51,MATCH($E84,Tipos!$A$5:$A$51,0)),"Tipo não encontrado"))</f>
        <v/>
      </c>
      <c r="P84" s="49">
        <f>IF($E84="","",IFERROR(INDEX(Tipos!$D$5:$D$51,MATCH($E84,Tipos!$A$5:$A$51,0)),""))</f>
        <v/>
      </c>
      <c r="Q84" s="49">
        <f>IF(COUNTA($B84:$F84)=0,"",IF($B84="","Falta Área",IF($C84="","Falta Setor",IF($D84="","Falta Equipamento",IF($E84="","Falta Tipo",IF($F84="","Falta Categoria",IF(COUNTIF($D$4:$D$303,$D84)&gt;1,"Nome repetido: diferencie (01, 02…)",IF(AND(ISNUMBER(SEARCH("Temperatura",$P84)),OR($L84="",$M84="")),"Falta faixa de temperatura",IF(AND(ISNUMBER($L84),ISNUMBER($M84),$L84&gt;$M84),"Temp. mínima maior que a máxima","OK")))))))))</f>
        <v/>
      </c>
      <c r="R84" s="49">
        <f>IF($E84="","",IFERROR(INDEX(Tipos!$B$5:$B$51,MATCH($E84,Tipos!$A$5:$A$51,0)),""))</f>
        <v/>
      </c>
    </row>
    <row r="85" ht="15" customHeight="1" s="33">
      <c r="A85" s="50" t="inlineStr">
        <is>
          <t>RioMar Recife</t>
        </is>
      </c>
      <c r="B85" s="50" t="n"/>
      <c r="C85" s="50" t="n"/>
      <c r="D85" s="50" t="n"/>
      <c r="E85" s="50" t="n"/>
      <c r="F85" s="50" t="n"/>
      <c r="G85" s="50" t="n"/>
      <c r="H85" s="50" t="n"/>
      <c r="I85" s="50" t="n"/>
      <c r="J85" s="50" t="n"/>
      <c r="K85" s="51" t="n"/>
      <c r="L85" s="51" t="n"/>
      <c r="M85" s="51" t="n"/>
      <c r="N85" s="50" t="n"/>
      <c r="O85" s="49">
        <f>IF($E85="","",IFERROR(INDEX(Tipos!$C$5:$C$51,MATCH($E85,Tipos!$A$5:$A$51,0)),"Tipo não encontrado"))</f>
        <v/>
      </c>
      <c r="P85" s="49">
        <f>IF($E85="","",IFERROR(INDEX(Tipos!$D$5:$D$51,MATCH($E85,Tipos!$A$5:$A$51,0)),""))</f>
        <v/>
      </c>
      <c r="Q85" s="49">
        <f>IF(COUNTA($B85:$F85)=0,"",IF($B85="","Falta Área",IF($C85="","Falta Setor",IF($D85="","Falta Equipamento",IF($E85="","Falta Tipo",IF($F85="","Falta Categoria",IF(COUNTIF($D$4:$D$303,$D85)&gt;1,"Nome repetido: diferencie (01, 02…)",IF(AND(ISNUMBER(SEARCH("Temperatura",$P85)),OR($L85="",$M85="")),"Falta faixa de temperatura",IF(AND(ISNUMBER($L85),ISNUMBER($M85),$L85&gt;$M85),"Temp. mínima maior que a máxima","OK")))))))))</f>
        <v/>
      </c>
      <c r="R85" s="49">
        <f>IF($E85="","",IFERROR(INDEX(Tipos!$B$5:$B$51,MATCH($E85,Tipos!$A$5:$A$51,0)),""))</f>
        <v/>
      </c>
    </row>
    <row r="86" ht="15" customHeight="1" s="33">
      <c r="A86" s="50" t="inlineStr">
        <is>
          <t>RioMar Recife</t>
        </is>
      </c>
      <c r="B86" s="50" t="n"/>
      <c r="C86" s="50" t="n"/>
      <c r="D86" s="50" t="n"/>
      <c r="E86" s="50" t="n"/>
      <c r="F86" s="50" t="n"/>
      <c r="G86" s="50" t="n"/>
      <c r="H86" s="50" t="n"/>
      <c r="I86" s="50" t="n"/>
      <c r="J86" s="50" t="n"/>
      <c r="K86" s="51" t="n"/>
      <c r="L86" s="51" t="n"/>
      <c r="M86" s="51" t="n"/>
      <c r="N86" s="50" t="n"/>
      <c r="O86" s="49">
        <f>IF($E86="","",IFERROR(INDEX(Tipos!$C$5:$C$51,MATCH($E86,Tipos!$A$5:$A$51,0)),"Tipo não encontrado"))</f>
        <v/>
      </c>
      <c r="P86" s="49">
        <f>IF($E86="","",IFERROR(INDEX(Tipos!$D$5:$D$51,MATCH($E86,Tipos!$A$5:$A$51,0)),""))</f>
        <v/>
      </c>
      <c r="Q86" s="49">
        <f>IF(COUNTA($B86:$F86)=0,"",IF($B86="","Falta Área",IF($C86="","Falta Setor",IF($D86="","Falta Equipamento",IF($E86="","Falta Tipo",IF($F86="","Falta Categoria",IF(COUNTIF($D$4:$D$303,$D86)&gt;1,"Nome repetido: diferencie (01, 02…)",IF(AND(ISNUMBER(SEARCH("Temperatura",$P86)),OR($L86="",$M86="")),"Falta faixa de temperatura",IF(AND(ISNUMBER($L86),ISNUMBER($M86),$L86&gt;$M86),"Temp. mínima maior que a máxima","OK")))))))))</f>
        <v/>
      </c>
      <c r="R86" s="49">
        <f>IF($E86="","",IFERROR(INDEX(Tipos!$B$5:$B$51,MATCH($E86,Tipos!$A$5:$A$51,0)),""))</f>
        <v/>
      </c>
    </row>
    <row r="87" ht="15" customHeight="1" s="33">
      <c r="A87" s="50" t="inlineStr">
        <is>
          <t>RioMar Recife</t>
        </is>
      </c>
      <c r="B87" s="50" t="n"/>
      <c r="C87" s="50" t="n"/>
      <c r="D87" s="50" t="n"/>
      <c r="E87" s="50" t="n"/>
      <c r="F87" s="50" t="n"/>
      <c r="G87" s="50" t="n"/>
      <c r="H87" s="50" t="n"/>
      <c r="I87" s="50" t="n"/>
      <c r="J87" s="50" t="n"/>
      <c r="K87" s="51" t="n"/>
      <c r="L87" s="51" t="n"/>
      <c r="M87" s="51" t="n"/>
      <c r="N87" s="50" t="n"/>
      <c r="O87" s="49">
        <f>IF($E87="","",IFERROR(INDEX(Tipos!$C$5:$C$51,MATCH($E87,Tipos!$A$5:$A$51,0)),"Tipo não encontrado"))</f>
        <v/>
      </c>
      <c r="P87" s="49">
        <f>IF($E87="","",IFERROR(INDEX(Tipos!$D$5:$D$51,MATCH($E87,Tipos!$A$5:$A$51,0)),""))</f>
        <v/>
      </c>
      <c r="Q87" s="49">
        <f>IF(COUNTA($B87:$F87)=0,"",IF($B87="","Falta Área",IF($C87="","Falta Setor",IF($D87="","Falta Equipamento",IF($E87="","Falta Tipo",IF($F87="","Falta Categoria",IF(COUNTIF($D$4:$D$303,$D87)&gt;1,"Nome repetido: diferencie (01, 02…)",IF(AND(ISNUMBER(SEARCH("Temperatura",$P87)),OR($L87="",$M87="")),"Falta faixa de temperatura",IF(AND(ISNUMBER($L87),ISNUMBER($M87),$L87&gt;$M87),"Temp. mínima maior que a máxima","OK")))))))))</f>
        <v/>
      </c>
      <c r="R87" s="49">
        <f>IF($E87="","",IFERROR(INDEX(Tipos!$B$5:$B$51,MATCH($E87,Tipos!$A$5:$A$51,0)),""))</f>
        <v/>
      </c>
    </row>
    <row r="88" ht="15" customHeight="1" s="33">
      <c r="A88" s="50" t="inlineStr">
        <is>
          <t>RioMar Recife</t>
        </is>
      </c>
      <c r="B88" s="50" t="n"/>
      <c r="C88" s="50" t="n"/>
      <c r="D88" s="50" t="n"/>
      <c r="E88" s="50" t="n"/>
      <c r="F88" s="50" t="n"/>
      <c r="G88" s="50" t="n"/>
      <c r="H88" s="50" t="n"/>
      <c r="I88" s="50" t="n"/>
      <c r="J88" s="50" t="n"/>
      <c r="K88" s="51" t="n"/>
      <c r="L88" s="51" t="n"/>
      <c r="M88" s="51" t="n"/>
      <c r="N88" s="50" t="n"/>
      <c r="O88" s="49">
        <f>IF($E88="","",IFERROR(INDEX(Tipos!$C$5:$C$51,MATCH($E88,Tipos!$A$5:$A$51,0)),"Tipo não encontrado"))</f>
        <v/>
      </c>
      <c r="P88" s="49">
        <f>IF($E88="","",IFERROR(INDEX(Tipos!$D$5:$D$51,MATCH($E88,Tipos!$A$5:$A$51,0)),""))</f>
        <v/>
      </c>
      <c r="Q88" s="49">
        <f>IF(COUNTA($B88:$F88)=0,"",IF($B88="","Falta Área",IF($C88="","Falta Setor",IF($D88="","Falta Equipamento",IF($E88="","Falta Tipo",IF($F88="","Falta Categoria",IF(COUNTIF($D$4:$D$303,$D88)&gt;1,"Nome repetido: diferencie (01, 02…)",IF(AND(ISNUMBER(SEARCH("Temperatura",$P88)),OR($L88="",$M88="")),"Falta faixa de temperatura",IF(AND(ISNUMBER($L88),ISNUMBER($M88),$L88&gt;$M88),"Temp. mínima maior que a máxima","OK")))))))))</f>
        <v/>
      </c>
      <c r="R88" s="49">
        <f>IF($E88="","",IFERROR(INDEX(Tipos!$B$5:$B$51,MATCH($E88,Tipos!$A$5:$A$51,0)),""))</f>
        <v/>
      </c>
    </row>
    <row r="89" ht="15" customHeight="1" s="33">
      <c r="A89" s="50" t="inlineStr">
        <is>
          <t>RioMar Recife</t>
        </is>
      </c>
      <c r="B89" s="50" t="n"/>
      <c r="C89" s="50" t="n"/>
      <c r="D89" s="50" t="n"/>
      <c r="E89" s="50" t="n"/>
      <c r="F89" s="50" t="n"/>
      <c r="G89" s="50" t="n"/>
      <c r="H89" s="50" t="n"/>
      <c r="I89" s="50" t="n"/>
      <c r="J89" s="50" t="n"/>
      <c r="K89" s="51" t="n"/>
      <c r="L89" s="51" t="n"/>
      <c r="M89" s="51" t="n"/>
      <c r="N89" s="50" t="n"/>
      <c r="O89" s="49">
        <f>IF($E89="","",IFERROR(INDEX(Tipos!$C$5:$C$51,MATCH($E89,Tipos!$A$5:$A$51,0)),"Tipo não encontrado"))</f>
        <v/>
      </c>
      <c r="P89" s="49">
        <f>IF($E89="","",IFERROR(INDEX(Tipos!$D$5:$D$51,MATCH($E89,Tipos!$A$5:$A$51,0)),""))</f>
        <v/>
      </c>
      <c r="Q89" s="49">
        <f>IF(COUNTA($B89:$F89)=0,"",IF($B89="","Falta Área",IF($C89="","Falta Setor",IF($D89="","Falta Equipamento",IF($E89="","Falta Tipo",IF($F89="","Falta Categoria",IF(COUNTIF($D$4:$D$303,$D89)&gt;1,"Nome repetido: diferencie (01, 02…)",IF(AND(ISNUMBER(SEARCH("Temperatura",$P89)),OR($L89="",$M89="")),"Falta faixa de temperatura",IF(AND(ISNUMBER($L89),ISNUMBER($M89),$L89&gt;$M89),"Temp. mínima maior que a máxima","OK")))))))))</f>
        <v/>
      </c>
      <c r="R89" s="49">
        <f>IF($E89="","",IFERROR(INDEX(Tipos!$B$5:$B$51,MATCH($E89,Tipos!$A$5:$A$51,0)),""))</f>
        <v/>
      </c>
    </row>
    <row r="90" ht="15" customHeight="1" s="33">
      <c r="A90" s="50" t="inlineStr">
        <is>
          <t>RioMar Recife</t>
        </is>
      </c>
      <c r="B90" s="50" t="n"/>
      <c r="C90" s="50" t="n"/>
      <c r="D90" s="50" t="n"/>
      <c r="E90" s="50" t="n"/>
      <c r="F90" s="50" t="n"/>
      <c r="G90" s="50" t="n"/>
      <c r="H90" s="50" t="n"/>
      <c r="I90" s="50" t="n"/>
      <c r="J90" s="50" t="n"/>
      <c r="K90" s="51" t="n"/>
      <c r="L90" s="51" t="n"/>
      <c r="M90" s="51" t="n"/>
      <c r="N90" s="50" t="n"/>
      <c r="O90" s="49">
        <f>IF($E90="","",IFERROR(INDEX(Tipos!$C$5:$C$51,MATCH($E90,Tipos!$A$5:$A$51,0)),"Tipo não encontrado"))</f>
        <v/>
      </c>
      <c r="P90" s="49">
        <f>IF($E90="","",IFERROR(INDEX(Tipos!$D$5:$D$51,MATCH($E90,Tipos!$A$5:$A$51,0)),""))</f>
        <v/>
      </c>
      <c r="Q90" s="49">
        <f>IF(COUNTA($B90:$F90)=0,"",IF($B90="","Falta Área",IF($C90="","Falta Setor",IF($D90="","Falta Equipamento",IF($E90="","Falta Tipo",IF($F90="","Falta Categoria",IF(COUNTIF($D$4:$D$303,$D90)&gt;1,"Nome repetido: diferencie (01, 02…)",IF(AND(ISNUMBER(SEARCH("Temperatura",$P90)),OR($L90="",$M90="")),"Falta faixa de temperatura",IF(AND(ISNUMBER($L90),ISNUMBER($M90),$L90&gt;$M90),"Temp. mínima maior que a máxima","OK")))))))))</f>
        <v/>
      </c>
      <c r="R90" s="49">
        <f>IF($E90="","",IFERROR(INDEX(Tipos!$B$5:$B$51,MATCH($E90,Tipos!$A$5:$A$51,0)),""))</f>
        <v/>
      </c>
    </row>
    <row r="91" ht="15" customHeight="1" s="33">
      <c r="A91" s="50" t="inlineStr">
        <is>
          <t>RioMar Recife</t>
        </is>
      </c>
      <c r="B91" s="50" t="n"/>
      <c r="C91" s="50" t="n"/>
      <c r="D91" s="50" t="n"/>
      <c r="E91" s="50" t="n"/>
      <c r="F91" s="50" t="n"/>
      <c r="G91" s="50" t="n"/>
      <c r="H91" s="50" t="n"/>
      <c r="I91" s="50" t="n"/>
      <c r="J91" s="50" t="n"/>
      <c r="K91" s="51" t="n"/>
      <c r="L91" s="51" t="n"/>
      <c r="M91" s="51" t="n"/>
      <c r="N91" s="50" t="n"/>
      <c r="O91" s="49">
        <f>IF($E91="","",IFERROR(INDEX(Tipos!$C$5:$C$51,MATCH($E91,Tipos!$A$5:$A$51,0)),"Tipo não encontrado"))</f>
        <v/>
      </c>
      <c r="P91" s="49">
        <f>IF($E91="","",IFERROR(INDEX(Tipos!$D$5:$D$51,MATCH($E91,Tipos!$A$5:$A$51,0)),""))</f>
        <v/>
      </c>
      <c r="Q91" s="49">
        <f>IF(COUNTA($B91:$F91)=0,"",IF($B91="","Falta Área",IF($C91="","Falta Setor",IF($D91="","Falta Equipamento",IF($E91="","Falta Tipo",IF($F91="","Falta Categoria",IF(COUNTIF($D$4:$D$303,$D91)&gt;1,"Nome repetido: diferencie (01, 02…)",IF(AND(ISNUMBER(SEARCH("Temperatura",$P91)),OR($L91="",$M91="")),"Falta faixa de temperatura",IF(AND(ISNUMBER($L91),ISNUMBER($M91),$L91&gt;$M91),"Temp. mínima maior que a máxima","OK")))))))))</f>
        <v/>
      </c>
      <c r="R91" s="49">
        <f>IF($E91="","",IFERROR(INDEX(Tipos!$B$5:$B$51,MATCH($E91,Tipos!$A$5:$A$51,0)),""))</f>
        <v/>
      </c>
    </row>
    <row r="92" ht="15" customHeight="1" s="33">
      <c r="A92" s="50" t="inlineStr">
        <is>
          <t>RioMar Recife</t>
        </is>
      </c>
      <c r="B92" s="50" t="n"/>
      <c r="C92" s="50" t="n"/>
      <c r="D92" s="50" t="n"/>
      <c r="E92" s="50" t="n"/>
      <c r="F92" s="50" t="n"/>
      <c r="G92" s="50" t="n"/>
      <c r="H92" s="50" t="n"/>
      <c r="I92" s="50" t="n"/>
      <c r="J92" s="50" t="n"/>
      <c r="K92" s="51" t="n"/>
      <c r="L92" s="51" t="n"/>
      <c r="M92" s="51" t="n"/>
      <c r="N92" s="50" t="n"/>
      <c r="O92" s="49">
        <f>IF($E92="","",IFERROR(INDEX(Tipos!$C$5:$C$51,MATCH($E92,Tipos!$A$5:$A$51,0)),"Tipo não encontrado"))</f>
        <v/>
      </c>
      <c r="P92" s="49">
        <f>IF($E92="","",IFERROR(INDEX(Tipos!$D$5:$D$51,MATCH($E92,Tipos!$A$5:$A$51,0)),""))</f>
        <v/>
      </c>
      <c r="Q92" s="49">
        <f>IF(COUNTA($B92:$F92)=0,"",IF($B92="","Falta Área",IF($C92="","Falta Setor",IF($D92="","Falta Equipamento",IF($E92="","Falta Tipo",IF($F92="","Falta Categoria",IF(COUNTIF($D$4:$D$303,$D92)&gt;1,"Nome repetido: diferencie (01, 02…)",IF(AND(ISNUMBER(SEARCH("Temperatura",$P92)),OR($L92="",$M92="")),"Falta faixa de temperatura",IF(AND(ISNUMBER($L92),ISNUMBER($M92),$L92&gt;$M92),"Temp. mínima maior que a máxima","OK")))))))))</f>
        <v/>
      </c>
      <c r="R92" s="49">
        <f>IF($E92="","",IFERROR(INDEX(Tipos!$B$5:$B$51,MATCH($E92,Tipos!$A$5:$A$51,0)),""))</f>
        <v/>
      </c>
    </row>
    <row r="93" ht="15" customHeight="1" s="33">
      <c r="A93" s="50" t="inlineStr">
        <is>
          <t>RioMar Recife</t>
        </is>
      </c>
      <c r="B93" s="50" t="n"/>
      <c r="C93" s="50" t="n"/>
      <c r="D93" s="50" t="n"/>
      <c r="E93" s="50" t="n"/>
      <c r="F93" s="50" t="n"/>
      <c r="G93" s="50" t="n"/>
      <c r="H93" s="50" t="n"/>
      <c r="I93" s="50" t="n"/>
      <c r="J93" s="50" t="n"/>
      <c r="K93" s="51" t="n"/>
      <c r="L93" s="51" t="n"/>
      <c r="M93" s="51" t="n"/>
      <c r="N93" s="50" t="n"/>
      <c r="O93" s="49">
        <f>IF($E93="","",IFERROR(INDEX(Tipos!$C$5:$C$51,MATCH($E93,Tipos!$A$5:$A$51,0)),"Tipo não encontrado"))</f>
        <v/>
      </c>
      <c r="P93" s="49">
        <f>IF($E93="","",IFERROR(INDEX(Tipos!$D$5:$D$51,MATCH($E93,Tipos!$A$5:$A$51,0)),""))</f>
        <v/>
      </c>
      <c r="Q93" s="49">
        <f>IF(COUNTA($B93:$F93)=0,"",IF($B93="","Falta Área",IF($C93="","Falta Setor",IF($D93="","Falta Equipamento",IF($E93="","Falta Tipo",IF($F93="","Falta Categoria",IF(COUNTIF($D$4:$D$303,$D93)&gt;1,"Nome repetido: diferencie (01, 02…)",IF(AND(ISNUMBER(SEARCH("Temperatura",$P93)),OR($L93="",$M93="")),"Falta faixa de temperatura",IF(AND(ISNUMBER($L93),ISNUMBER($M93),$L93&gt;$M93),"Temp. mínima maior que a máxima","OK")))))))))</f>
        <v/>
      </c>
      <c r="R93" s="49">
        <f>IF($E93="","",IFERROR(INDEX(Tipos!$B$5:$B$51,MATCH($E93,Tipos!$A$5:$A$51,0)),""))</f>
        <v/>
      </c>
    </row>
    <row r="94" ht="15" customHeight="1" s="33">
      <c r="A94" s="50" t="inlineStr">
        <is>
          <t>RioMar Recife</t>
        </is>
      </c>
      <c r="B94" s="50" t="n"/>
      <c r="C94" s="50" t="n"/>
      <c r="D94" s="50" t="n"/>
      <c r="E94" s="50" t="n"/>
      <c r="F94" s="50" t="n"/>
      <c r="G94" s="50" t="n"/>
      <c r="H94" s="50" t="n"/>
      <c r="I94" s="50" t="n"/>
      <c r="J94" s="50" t="n"/>
      <c r="K94" s="51" t="n"/>
      <c r="L94" s="51" t="n"/>
      <c r="M94" s="51" t="n"/>
      <c r="N94" s="50" t="n"/>
      <c r="O94" s="49">
        <f>IF($E94="","",IFERROR(INDEX(Tipos!$C$5:$C$51,MATCH($E94,Tipos!$A$5:$A$51,0)),"Tipo não encontrado"))</f>
        <v/>
      </c>
      <c r="P94" s="49">
        <f>IF($E94="","",IFERROR(INDEX(Tipos!$D$5:$D$51,MATCH($E94,Tipos!$A$5:$A$51,0)),""))</f>
        <v/>
      </c>
      <c r="Q94" s="49">
        <f>IF(COUNTA($B94:$F94)=0,"",IF($B94="","Falta Área",IF($C94="","Falta Setor",IF($D94="","Falta Equipamento",IF($E94="","Falta Tipo",IF($F94="","Falta Categoria",IF(COUNTIF($D$4:$D$303,$D94)&gt;1,"Nome repetido: diferencie (01, 02…)",IF(AND(ISNUMBER(SEARCH("Temperatura",$P94)),OR($L94="",$M94="")),"Falta faixa de temperatura",IF(AND(ISNUMBER($L94),ISNUMBER($M94),$L94&gt;$M94),"Temp. mínima maior que a máxima","OK")))))))))</f>
        <v/>
      </c>
      <c r="R94" s="49">
        <f>IF($E94="","",IFERROR(INDEX(Tipos!$B$5:$B$51,MATCH($E94,Tipos!$A$5:$A$51,0)),""))</f>
        <v/>
      </c>
    </row>
    <row r="95" ht="15" customHeight="1" s="33">
      <c r="A95" s="50" t="inlineStr">
        <is>
          <t>RioMar Recife</t>
        </is>
      </c>
      <c r="B95" s="50" t="n"/>
      <c r="C95" s="50" t="n"/>
      <c r="D95" s="50" t="n"/>
      <c r="E95" s="50" t="n"/>
      <c r="F95" s="50" t="n"/>
      <c r="G95" s="50" t="n"/>
      <c r="H95" s="50" t="n"/>
      <c r="I95" s="50" t="n"/>
      <c r="J95" s="50" t="n"/>
      <c r="K95" s="51" t="n"/>
      <c r="L95" s="51" t="n"/>
      <c r="M95" s="51" t="n"/>
      <c r="N95" s="50" t="n"/>
      <c r="O95" s="49">
        <f>IF($E95="","",IFERROR(INDEX(Tipos!$C$5:$C$51,MATCH($E95,Tipos!$A$5:$A$51,0)),"Tipo não encontrado"))</f>
        <v/>
      </c>
      <c r="P95" s="49">
        <f>IF($E95="","",IFERROR(INDEX(Tipos!$D$5:$D$51,MATCH($E95,Tipos!$A$5:$A$51,0)),""))</f>
        <v/>
      </c>
      <c r="Q95" s="49">
        <f>IF(COUNTA($B95:$F95)=0,"",IF($B95="","Falta Área",IF($C95="","Falta Setor",IF($D95="","Falta Equipamento",IF($E95="","Falta Tipo",IF($F95="","Falta Categoria",IF(COUNTIF($D$4:$D$303,$D95)&gt;1,"Nome repetido: diferencie (01, 02…)",IF(AND(ISNUMBER(SEARCH("Temperatura",$P95)),OR($L95="",$M95="")),"Falta faixa de temperatura",IF(AND(ISNUMBER($L95),ISNUMBER($M95),$L95&gt;$M95),"Temp. mínima maior que a máxima","OK")))))))))</f>
        <v/>
      </c>
      <c r="R95" s="49">
        <f>IF($E95="","",IFERROR(INDEX(Tipos!$B$5:$B$51,MATCH($E95,Tipos!$A$5:$A$51,0)),""))</f>
        <v/>
      </c>
    </row>
    <row r="96" ht="15" customHeight="1" s="33">
      <c r="A96" s="50" t="inlineStr">
        <is>
          <t>RioMar Recife</t>
        </is>
      </c>
      <c r="B96" s="50" t="n"/>
      <c r="C96" s="50" t="n"/>
      <c r="D96" s="50" t="n"/>
      <c r="E96" s="50" t="n"/>
      <c r="F96" s="50" t="n"/>
      <c r="G96" s="50" t="n"/>
      <c r="H96" s="50" t="n"/>
      <c r="I96" s="50" t="n"/>
      <c r="J96" s="50" t="n"/>
      <c r="K96" s="51" t="n"/>
      <c r="L96" s="51" t="n"/>
      <c r="M96" s="51" t="n"/>
      <c r="N96" s="50" t="n"/>
      <c r="O96" s="49">
        <f>IF($E96="","",IFERROR(INDEX(Tipos!$C$5:$C$51,MATCH($E96,Tipos!$A$5:$A$51,0)),"Tipo não encontrado"))</f>
        <v/>
      </c>
      <c r="P96" s="49">
        <f>IF($E96="","",IFERROR(INDEX(Tipos!$D$5:$D$51,MATCH($E96,Tipos!$A$5:$A$51,0)),""))</f>
        <v/>
      </c>
      <c r="Q96" s="49">
        <f>IF(COUNTA($B96:$F96)=0,"",IF($B96="","Falta Área",IF($C96="","Falta Setor",IF($D96="","Falta Equipamento",IF($E96="","Falta Tipo",IF($F96="","Falta Categoria",IF(COUNTIF($D$4:$D$303,$D96)&gt;1,"Nome repetido: diferencie (01, 02…)",IF(AND(ISNUMBER(SEARCH("Temperatura",$P96)),OR($L96="",$M96="")),"Falta faixa de temperatura",IF(AND(ISNUMBER($L96),ISNUMBER($M96),$L96&gt;$M96),"Temp. mínima maior que a máxima","OK")))))))))</f>
        <v/>
      </c>
      <c r="R96" s="49">
        <f>IF($E96="","",IFERROR(INDEX(Tipos!$B$5:$B$51,MATCH($E96,Tipos!$A$5:$A$51,0)),""))</f>
        <v/>
      </c>
    </row>
    <row r="97" ht="15" customHeight="1" s="33">
      <c r="A97" s="50" t="inlineStr">
        <is>
          <t>RioMar Recife</t>
        </is>
      </c>
      <c r="B97" s="50" t="n"/>
      <c r="C97" s="50" t="n"/>
      <c r="D97" s="50" t="n"/>
      <c r="E97" s="50" t="n"/>
      <c r="F97" s="50" t="n"/>
      <c r="G97" s="50" t="n"/>
      <c r="H97" s="50" t="n"/>
      <c r="I97" s="50" t="n"/>
      <c r="J97" s="50" t="n"/>
      <c r="K97" s="51" t="n"/>
      <c r="L97" s="51" t="n"/>
      <c r="M97" s="51" t="n"/>
      <c r="N97" s="50" t="n"/>
      <c r="O97" s="49">
        <f>IF($E97="","",IFERROR(INDEX(Tipos!$C$5:$C$51,MATCH($E97,Tipos!$A$5:$A$51,0)),"Tipo não encontrado"))</f>
        <v/>
      </c>
      <c r="P97" s="49">
        <f>IF($E97="","",IFERROR(INDEX(Tipos!$D$5:$D$51,MATCH($E97,Tipos!$A$5:$A$51,0)),""))</f>
        <v/>
      </c>
      <c r="Q97" s="49">
        <f>IF(COUNTA($B97:$F97)=0,"",IF($B97="","Falta Área",IF($C97="","Falta Setor",IF($D97="","Falta Equipamento",IF($E97="","Falta Tipo",IF($F97="","Falta Categoria",IF(COUNTIF($D$4:$D$303,$D97)&gt;1,"Nome repetido: diferencie (01, 02…)",IF(AND(ISNUMBER(SEARCH("Temperatura",$P97)),OR($L97="",$M97="")),"Falta faixa de temperatura",IF(AND(ISNUMBER($L97),ISNUMBER($M97),$L97&gt;$M97),"Temp. mínima maior que a máxima","OK")))))))))</f>
        <v/>
      </c>
      <c r="R97" s="49">
        <f>IF($E97="","",IFERROR(INDEX(Tipos!$B$5:$B$51,MATCH($E97,Tipos!$A$5:$A$51,0)),""))</f>
        <v/>
      </c>
    </row>
    <row r="98" ht="15" customHeight="1" s="33">
      <c r="A98" s="50" t="inlineStr">
        <is>
          <t>RioMar Recife</t>
        </is>
      </c>
      <c r="B98" s="50" t="n"/>
      <c r="C98" s="50" t="n"/>
      <c r="D98" s="50" t="n"/>
      <c r="E98" s="50" t="n"/>
      <c r="F98" s="50" t="n"/>
      <c r="G98" s="50" t="n"/>
      <c r="H98" s="50" t="n"/>
      <c r="I98" s="50" t="n"/>
      <c r="J98" s="50" t="n"/>
      <c r="K98" s="51" t="n"/>
      <c r="L98" s="51" t="n"/>
      <c r="M98" s="51" t="n"/>
      <c r="N98" s="50" t="n"/>
      <c r="O98" s="49">
        <f>IF($E98="","",IFERROR(INDEX(Tipos!$C$5:$C$51,MATCH($E98,Tipos!$A$5:$A$51,0)),"Tipo não encontrado"))</f>
        <v/>
      </c>
      <c r="P98" s="49">
        <f>IF($E98="","",IFERROR(INDEX(Tipos!$D$5:$D$51,MATCH($E98,Tipos!$A$5:$A$51,0)),""))</f>
        <v/>
      </c>
      <c r="Q98" s="49">
        <f>IF(COUNTA($B98:$F98)=0,"",IF($B98="","Falta Área",IF($C98="","Falta Setor",IF($D98="","Falta Equipamento",IF($E98="","Falta Tipo",IF($F98="","Falta Categoria",IF(COUNTIF($D$4:$D$303,$D98)&gt;1,"Nome repetido: diferencie (01, 02…)",IF(AND(ISNUMBER(SEARCH("Temperatura",$P98)),OR($L98="",$M98="")),"Falta faixa de temperatura",IF(AND(ISNUMBER($L98),ISNUMBER($M98),$L98&gt;$M98),"Temp. mínima maior que a máxima","OK")))))))))</f>
        <v/>
      </c>
      <c r="R98" s="49">
        <f>IF($E98="","",IFERROR(INDEX(Tipos!$B$5:$B$51,MATCH($E98,Tipos!$A$5:$A$51,0)),""))</f>
        <v/>
      </c>
    </row>
    <row r="99" ht="15" customHeight="1" s="33">
      <c r="A99" s="50" t="inlineStr">
        <is>
          <t>RioMar Recife</t>
        </is>
      </c>
      <c r="B99" s="50" t="n"/>
      <c r="C99" s="50" t="n"/>
      <c r="D99" s="50" t="n"/>
      <c r="E99" s="50" t="n"/>
      <c r="F99" s="50" t="n"/>
      <c r="G99" s="50" t="n"/>
      <c r="H99" s="50" t="n"/>
      <c r="I99" s="50" t="n"/>
      <c r="J99" s="50" t="n"/>
      <c r="K99" s="51" t="n"/>
      <c r="L99" s="51" t="n"/>
      <c r="M99" s="51" t="n"/>
      <c r="N99" s="50" t="n"/>
      <c r="O99" s="49">
        <f>IF($E99="","",IFERROR(INDEX(Tipos!$C$5:$C$51,MATCH($E99,Tipos!$A$5:$A$51,0)),"Tipo não encontrado"))</f>
        <v/>
      </c>
      <c r="P99" s="49">
        <f>IF($E99="","",IFERROR(INDEX(Tipos!$D$5:$D$51,MATCH($E99,Tipos!$A$5:$A$51,0)),""))</f>
        <v/>
      </c>
      <c r="Q99" s="49">
        <f>IF(COUNTA($B99:$F99)=0,"",IF($B99="","Falta Área",IF($C99="","Falta Setor",IF($D99="","Falta Equipamento",IF($E99="","Falta Tipo",IF($F99="","Falta Categoria",IF(COUNTIF($D$4:$D$303,$D99)&gt;1,"Nome repetido: diferencie (01, 02…)",IF(AND(ISNUMBER(SEARCH("Temperatura",$P99)),OR($L99="",$M99="")),"Falta faixa de temperatura",IF(AND(ISNUMBER($L99),ISNUMBER($M99),$L99&gt;$M99),"Temp. mínima maior que a máxima","OK")))))))))</f>
        <v/>
      </c>
      <c r="R99" s="49">
        <f>IF($E99="","",IFERROR(INDEX(Tipos!$B$5:$B$51,MATCH($E99,Tipos!$A$5:$A$51,0)),""))</f>
        <v/>
      </c>
    </row>
    <row r="100" ht="15" customHeight="1" s="33">
      <c r="A100" s="50" t="inlineStr">
        <is>
          <t>RioMar Recife</t>
        </is>
      </c>
      <c r="B100" s="50" t="n"/>
      <c r="C100" s="50" t="n"/>
      <c r="D100" s="50" t="n"/>
      <c r="E100" s="50" t="n"/>
      <c r="F100" s="50" t="n"/>
      <c r="G100" s="50" t="n"/>
      <c r="H100" s="50" t="n"/>
      <c r="I100" s="50" t="n"/>
      <c r="J100" s="50" t="n"/>
      <c r="K100" s="51" t="n"/>
      <c r="L100" s="51" t="n"/>
      <c r="M100" s="51" t="n"/>
      <c r="N100" s="50" t="n"/>
      <c r="O100" s="49">
        <f>IF($E100="","",IFERROR(INDEX(Tipos!$C$5:$C$51,MATCH($E100,Tipos!$A$5:$A$51,0)),"Tipo não encontrado"))</f>
        <v/>
      </c>
      <c r="P100" s="49">
        <f>IF($E100="","",IFERROR(INDEX(Tipos!$D$5:$D$51,MATCH($E100,Tipos!$A$5:$A$51,0)),""))</f>
        <v/>
      </c>
      <c r="Q100" s="49">
        <f>IF(COUNTA($B100:$F100)=0,"",IF($B100="","Falta Área",IF($C100="","Falta Setor",IF($D100="","Falta Equipamento",IF($E100="","Falta Tipo",IF($F100="","Falta Categoria",IF(COUNTIF($D$4:$D$303,$D100)&gt;1,"Nome repetido: diferencie (01, 02…)",IF(AND(ISNUMBER(SEARCH("Temperatura",$P100)),OR($L100="",$M100="")),"Falta faixa de temperatura",IF(AND(ISNUMBER($L100),ISNUMBER($M100),$L100&gt;$M100),"Temp. mínima maior que a máxima","OK")))))))))</f>
        <v/>
      </c>
      <c r="R100" s="49">
        <f>IF($E100="","",IFERROR(INDEX(Tipos!$B$5:$B$51,MATCH($E100,Tipos!$A$5:$A$51,0)),""))</f>
        <v/>
      </c>
    </row>
    <row r="101" ht="15" customHeight="1" s="33">
      <c r="A101" s="50" t="inlineStr">
        <is>
          <t>RioMar Recife</t>
        </is>
      </c>
      <c r="B101" s="50" t="n"/>
      <c r="C101" s="50" t="n"/>
      <c r="D101" s="50" t="n"/>
      <c r="E101" s="50" t="n"/>
      <c r="F101" s="50" t="n"/>
      <c r="G101" s="50" t="n"/>
      <c r="H101" s="50" t="n"/>
      <c r="I101" s="50" t="n"/>
      <c r="J101" s="50" t="n"/>
      <c r="K101" s="51" t="n"/>
      <c r="L101" s="51" t="n"/>
      <c r="M101" s="51" t="n"/>
      <c r="N101" s="50" t="n"/>
      <c r="O101" s="49">
        <f>IF($E101="","",IFERROR(INDEX(Tipos!$C$5:$C$51,MATCH($E101,Tipos!$A$5:$A$51,0)),"Tipo não encontrado"))</f>
        <v/>
      </c>
      <c r="P101" s="49">
        <f>IF($E101="","",IFERROR(INDEX(Tipos!$D$5:$D$51,MATCH($E101,Tipos!$A$5:$A$51,0)),""))</f>
        <v/>
      </c>
      <c r="Q101" s="49">
        <f>IF(COUNTA($B101:$F101)=0,"",IF($B101="","Falta Área",IF($C101="","Falta Setor",IF($D101="","Falta Equipamento",IF($E101="","Falta Tipo",IF($F101="","Falta Categoria",IF(COUNTIF($D$4:$D$303,$D101)&gt;1,"Nome repetido: diferencie (01, 02…)",IF(AND(ISNUMBER(SEARCH("Temperatura",$P101)),OR($L101="",$M101="")),"Falta faixa de temperatura",IF(AND(ISNUMBER($L101),ISNUMBER($M101),$L101&gt;$M101),"Temp. mínima maior que a máxima","OK")))))))))</f>
        <v/>
      </c>
      <c r="R101" s="49">
        <f>IF($E101="","",IFERROR(INDEX(Tipos!$B$5:$B$51,MATCH($E101,Tipos!$A$5:$A$51,0)),""))</f>
        <v/>
      </c>
    </row>
    <row r="102" ht="15" customHeight="1" s="33">
      <c r="A102" s="50" t="inlineStr">
        <is>
          <t>RioMar Recife</t>
        </is>
      </c>
      <c r="B102" s="50" t="n"/>
      <c r="C102" s="50" t="n"/>
      <c r="D102" s="50" t="n"/>
      <c r="E102" s="50" t="n"/>
      <c r="F102" s="50" t="n"/>
      <c r="G102" s="50" t="n"/>
      <c r="H102" s="50" t="n"/>
      <c r="I102" s="50" t="n"/>
      <c r="J102" s="50" t="n"/>
      <c r="K102" s="51" t="n"/>
      <c r="L102" s="51" t="n"/>
      <c r="M102" s="51" t="n"/>
      <c r="N102" s="50" t="n"/>
      <c r="O102" s="49">
        <f>IF($E102="","",IFERROR(INDEX(Tipos!$C$5:$C$51,MATCH($E102,Tipos!$A$5:$A$51,0)),"Tipo não encontrado"))</f>
        <v/>
      </c>
      <c r="P102" s="49">
        <f>IF($E102="","",IFERROR(INDEX(Tipos!$D$5:$D$51,MATCH($E102,Tipos!$A$5:$A$51,0)),""))</f>
        <v/>
      </c>
      <c r="Q102" s="49">
        <f>IF(COUNTA($B102:$F102)=0,"",IF($B102="","Falta Área",IF($C102="","Falta Setor",IF($D102="","Falta Equipamento",IF($E102="","Falta Tipo",IF($F102="","Falta Categoria",IF(COUNTIF($D$4:$D$303,$D102)&gt;1,"Nome repetido: diferencie (01, 02…)",IF(AND(ISNUMBER(SEARCH("Temperatura",$P102)),OR($L102="",$M102="")),"Falta faixa de temperatura",IF(AND(ISNUMBER($L102),ISNUMBER($M102),$L102&gt;$M102),"Temp. mínima maior que a máxima","OK")))))))))</f>
        <v/>
      </c>
      <c r="R102" s="49">
        <f>IF($E102="","",IFERROR(INDEX(Tipos!$B$5:$B$51,MATCH($E102,Tipos!$A$5:$A$51,0)),""))</f>
        <v/>
      </c>
    </row>
    <row r="103" ht="15" customHeight="1" s="33">
      <c r="A103" s="50" t="inlineStr">
        <is>
          <t>RioMar Recife</t>
        </is>
      </c>
      <c r="B103" s="50" t="n"/>
      <c r="C103" s="50" t="n"/>
      <c r="D103" s="50" t="n"/>
      <c r="E103" s="50" t="n"/>
      <c r="F103" s="50" t="n"/>
      <c r="G103" s="50" t="n"/>
      <c r="H103" s="50" t="n"/>
      <c r="I103" s="50" t="n"/>
      <c r="J103" s="50" t="n"/>
      <c r="K103" s="51" t="n"/>
      <c r="L103" s="51" t="n"/>
      <c r="M103" s="51" t="n"/>
      <c r="N103" s="50" t="n"/>
      <c r="O103" s="49">
        <f>IF($E103="","",IFERROR(INDEX(Tipos!$C$5:$C$51,MATCH($E103,Tipos!$A$5:$A$51,0)),"Tipo não encontrado"))</f>
        <v/>
      </c>
      <c r="P103" s="49">
        <f>IF($E103="","",IFERROR(INDEX(Tipos!$D$5:$D$51,MATCH($E103,Tipos!$A$5:$A$51,0)),""))</f>
        <v/>
      </c>
      <c r="Q103" s="49">
        <f>IF(COUNTA($B103:$F103)=0,"",IF($B103="","Falta Área",IF($C103="","Falta Setor",IF($D103="","Falta Equipamento",IF($E103="","Falta Tipo",IF($F103="","Falta Categoria",IF(COUNTIF($D$4:$D$303,$D103)&gt;1,"Nome repetido: diferencie (01, 02…)",IF(AND(ISNUMBER(SEARCH("Temperatura",$P103)),OR($L103="",$M103="")),"Falta faixa de temperatura",IF(AND(ISNUMBER($L103),ISNUMBER($M103),$L103&gt;$M103),"Temp. mínima maior que a máxima","OK")))))))))</f>
        <v/>
      </c>
      <c r="R103" s="49">
        <f>IF($E103="","",IFERROR(INDEX(Tipos!$B$5:$B$51,MATCH($E103,Tipos!$A$5:$A$51,0)),""))</f>
        <v/>
      </c>
    </row>
    <row r="104" ht="15" customHeight="1" s="33">
      <c r="A104" s="50" t="inlineStr">
        <is>
          <t>RioMar Recife</t>
        </is>
      </c>
      <c r="B104" s="50" t="n"/>
      <c r="C104" s="50" t="n"/>
      <c r="D104" s="50" t="n"/>
      <c r="E104" s="50" t="n"/>
      <c r="F104" s="50" t="n"/>
      <c r="G104" s="50" t="n"/>
      <c r="H104" s="50" t="n"/>
      <c r="I104" s="50" t="n"/>
      <c r="J104" s="50" t="n"/>
      <c r="K104" s="51" t="n"/>
      <c r="L104" s="51" t="n"/>
      <c r="M104" s="51" t="n"/>
      <c r="N104" s="50" t="n"/>
      <c r="O104" s="49">
        <f>IF($E104="","",IFERROR(INDEX(Tipos!$C$5:$C$51,MATCH($E104,Tipos!$A$5:$A$51,0)),"Tipo não encontrado"))</f>
        <v/>
      </c>
      <c r="P104" s="49">
        <f>IF($E104="","",IFERROR(INDEX(Tipos!$D$5:$D$51,MATCH($E104,Tipos!$A$5:$A$51,0)),""))</f>
        <v/>
      </c>
      <c r="Q104" s="49">
        <f>IF(COUNTA($B104:$F104)=0,"",IF($B104="","Falta Área",IF($C104="","Falta Setor",IF($D104="","Falta Equipamento",IF($E104="","Falta Tipo",IF($F104="","Falta Categoria",IF(COUNTIF($D$4:$D$303,$D104)&gt;1,"Nome repetido: diferencie (01, 02…)",IF(AND(ISNUMBER(SEARCH("Temperatura",$P104)),OR($L104="",$M104="")),"Falta faixa de temperatura",IF(AND(ISNUMBER($L104),ISNUMBER($M104),$L104&gt;$M104),"Temp. mínima maior que a máxima","OK")))))))))</f>
        <v/>
      </c>
      <c r="R104" s="49">
        <f>IF($E104="","",IFERROR(INDEX(Tipos!$B$5:$B$51,MATCH($E104,Tipos!$A$5:$A$51,0)),""))</f>
        <v/>
      </c>
    </row>
    <row r="105" ht="15" customHeight="1" s="33">
      <c r="A105" s="50" t="inlineStr">
        <is>
          <t>RioMar Recife</t>
        </is>
      </c>
      <c r="B105" s="50" t="n"/>
      <c r="C105" s="50" t="n"/>
      <c r="D105" s="50" t="n"/>
      <c r="E105" s="50" t="n"/>
      <c r="F105" s="50" t="n"/>
      <c r="G105" s="50" t="n"/>
      <c r="H105" s="50" t="n"/>
      <c r="I105" s="50" t="n"/>
      <c r="J105" s="50" t="n"/>
      <c r="K105" s="51" t="n"/>
      <c r="L105" s="51" t="n"/>
      <c r="M105" s="51" t="n"/>
      <c r="N105" s="50" t="n"/>
      <c r="O105" s="49">
        <f>IF($E105="","",IFERROR(INDEX(Tipos!$C$5:$C$51,MATCH($E105,Tipos!$A$5:$A$51,0)),"Tipo não encontrado"))</f>
        <v/>
      </c>
      <c r="P105" s="49">
        <f>IF($E105="","",IFERROR(INDEX(Tipos!$D$5:$D$51,MATCH($E105,Tipos!$A$5:$A$51,0)),""))</f>
        <v/>
      </c>
      <c r="Q105" s="49">
        <f>IF(COUNTA($B105:$F105)=0,"",IF($B105="","Falta Área",IF($C105="","Falta Setor",IF($D105="","Falta Equipamento",IF($E105="","Falta Tipo",IF($F105="","Falta Categoria",IF(COUNTIF($D$4:$D$303,$D105)&gt;1,"Nome repetido: diferencie (01, 02…)",IF(AND(ISNUMBER(SEARCH("Temperatura",$P105)),OR($L105="",$M105="")),"Falta faixa de temperatura",IF(AND(ISNUMBER($L105),ISNUMBER($M105),$L105&gt;$M105),"Temp. mínima maior que a máxima","OK")))))))))</f>
        <v/>
      </c>
      <c r="R105" s="49">
        <f>IF($E105="","",IFERROR(INDEX(Tipos!$B$5:$B$51,MATCH($E105,Tipos!$A$5:$A$51,0)),""))</f>
        <v/>
      </c>
    </row>
    <row r="106" ht="15" customHeight="1" s="33">
      <c r="A106" s="50" t="inlineStr">
        <is>
          <t>RioMar Recife</t>
        </is>
      </c>
      <c r="B106" s="50" t="n"/>
      <c r="C106" s="50" t="n"/>
      <c r="D106" s="50" t="n"/>
      <c r="E106" s="50" t="n"/>
      <c r="F106" s="50" t="n"/>
      <c r="G106" s="50" t="n"/>
      <c r="H106" s="50" t="n"/>
      <c r="I106" s="50" t="n"/>
      <c r="J106" s="50" t="n"/>
      <c r="K106" s="51" t="n"/>
      <c r="L106" s="51" t="n"/>
      <c r="M106" s="51" t="n"/>
      <c r="N106" s="50" t="n"/>
      <c r="O106" s="49">
        <f>IF($E106="","",IFERROR(INDEX(Tipos!$C$5:$C$51,MATCH($E106,Tipos!$A$5:$A$51,0)),"Tipo não encontrado"))</f>
        <v/>
      </c>
      <c r="P106" s="49">
        <f>IF($E106="","",IFERROR(INDEX(Tipos!$D$5:$D$51,MATCH($E106,Tipos!$A$5:$A$51,0)),""))</f>
        <v/>
      </c>
      <c r="Q106" s="49">
        <f>IF(COUNTA($B106:$F106)=0,"",IF($B106="","Falta Área",IF($C106="","Falta Setor",IF($D106="","Falta Equipamento",IF($E106="","Falta Tipo",IF($F106="","Falta Categoria",IF(COUNTIF($D$4:$D$303,$D106)&gt;1,"Nome repetido: diferencie (01, 02…)",IF(AND(ISNUMBER(SEARCH("Temperatura",$P106)),OR($L106="",$M106="")),"Falta faixa de temperatura",IF(AND(ISNUMBER($L106),ISNUMBER($M106),$L106&gt;$M106),"Temp. mínima maior que a máxima","OK")))))))))</f>
        <v/>
      </c>
      <c r="R106" s="49">
        <f>IF($E106="","",IFERROR(INDEX(Tipos!$B$5:$B$51,MATCH($E106,Tipos!$A$5:$A$51,0)),""))</f>
        <v/>
      </c>
    </row>
    <row r="107" ht="15" customHeight="1" s="33">
      <c r="A107" s="50" t="inlineStr">
        <is>
          <t>RioMar Recife</t>
        </is>
      </c>
      <c r="B107" s="50" t="n"/>
      <c r="C107" s="50" t="n"/>
      <c r="D107" s="50" t="n"/>
      <c r="E107" s="50" t="n"/>
      <c r="F107" s="50" t="n"/>
      <c r="G107" s="50" t="n"/>
      <c r="H107" s="50" t="n"/>
      <c r="I107" s="50" t="n"/>
      <c r="J107" s="50" t="n"/>
      <c r="K107" s="51" t="n"/>
      <c r="L107" s="51" t="n"/>
      <c r="M107" s="51" t="n"/>
      <c r="N107" s="50" t="n"/>
      <c r="O107" s="49">
        <f>IF($E107="","",IFERROR(INDEX(Tipos!$C$5:$C$51,MATCH($E107,Tipos!$A$5:$A$51,0)),"Tipo não encontrado"))</f>
        <v/>
      </c>
      <c r="P107" s="49">
        <f>IF($E107="","",IFERROR(INDEX(Tipos!$D$5:$D$51,MATCH($E107,Tipos!$A$5:$A$51,0)),""))</f>
        <v/>
      </c>
      <c r="Q107" s="49">
        <f>IF(COUNTA($B107:$F107)=0,"",IF($B107="","Falta Área",IF($C107="","Falta Setor",IF($D107="","Falta Equipamento",IF($E107="","Falta Tipo",IF($F107="","Falta Categoria",IF(COUNTIF($D$4:$D$303,$D107)&gt;1,"Nome repetido: diferencie (01, 02…)",IF(AND(ISNUMBER(SEARCH("Temperatura",$P107)),OR($L107="",$M107="")),"Falta faixa de temperatura",IF(AND(ISNUMBER($L107),ISNUMBER($M107),$L107&gt;$M107),"Temp. mínima maior que a máxima","OK")))))))))</f>
        <v/>
      </c>
      <c r="R107" s="49">
        <f>IF($E107="","",IFERROR(INDEX(Tipos!$B$5:$B$51,MATCH($E107,Tipos!$A$5:$A$51,0)),""))</f>
        <v/>
      </c>
    </row>
    <row r="108" ht="15" customHeight="1" s="33">
      <c r="A108" s="50" t="inlineStr">
        <is>
          <t>RioMar Recife</t>
        </is>
      </c>
      <c r="B108" s="50" t="n"/>
      <c r="C108" s="50" t="n"/>
      <c r="D108" s="50" t="n"/>
      <c r="E108" s="50" t="n"/>
      <c r="F108" s="50" t="n"/>
      <c r="G108" s="50" t="n"/>
      <c r="H108" s="50" t="n"/>
      <c r="I108" s="50" t="n"/>
      <c r="J108" s="50" t="n"/>
      <c r="K108" s="51" t="n"/>
      <c r="L108" s="51" t="n"/>
      <c r="M108" s="51" t="n"/>
      <c r="N108" s="50" t="n"/>
      <c r="O108" s="49">
        <f>IF($E108="","",IFERROR(INDEX(Tipos!$C$5:$C$51,MATCH($E108,Tipos!$A$5:$A$51,0)),"Tipo não encontrado"))</f>
        <v/>
      </c>
      <c r="P108" s="49">
        <f>IF($E108="","",IFERROR(INDEX(Tipos!$D$5:$D$51,MATCH($E108,Tipos!$A$5:$A$51,0)),""))</f>
        <v/>
      </c>
      <c r="Q108" s="49">
        <f>IF(COUNTA($B108:$F108)=0,"",IF($B108="","Falta Área",IF($C108="","Falta Setor",IF($D108="","Falta Equipamento",IF($E108="","Falta Tipo",IF($F108="","Falta Categoria",IF(COUNTIF($D$4:$D$303,$D108)&gt;1,"Nome repetido: diferencie (01, 02…)",IF(AND(ISNUMBER(SEARCH("Temperatura",$P108)),OR($L108="",$M108="")),"Falta faixa de temperatura",IF(AND(ISNUMBER($L108),ISNUMBER($M108),$L108&gt;$M108),"Temp. mínima maior que a máxima","OK")))))))))</f>
        <v/>
      </c>
      <c r="R108" s="49">
        <f>IF($E108="","",IFERROR(INDEX(Tipos!$B$5:$B$51,MATCH($E108,Tipos!$A$5:$A$51,0)),""))</f>
        <v/>
      </c>
    </row>
    <row r="109" ht="15" customHeight="1" s="33">
      <c r="A109" s="50" t="inlineStr">
        <is>
          <t>RioMar Recife</t>
        </is>
      </c>
      <c r="B109" s="50" t="n"/>
      <c r="C109" s="50" t="n"/>
      <c r="D109" s="50" t="n"/>
      <c r="E109" s="50" t="n"/>
      <c r="F109" s="50" t="n"/>
      <c r="G109" s="50" t="n"/>
      <c r="H109" s="50" t="n"/>
      <c r="I109" s="50" t="n"/>
      <c r="J109" s="50" t="n"/>
      <c r="K109" s="51" t="n"/>
      <c r="L109" s="51" t="n"/>
      <c r="M109" s="51" t="n"/>
      <c r="N109" s="50" t="n"/>
      <c r="O109" s="49">
        <f>IF($E109="","",IFERROR(INDEX(Tipos!$C$5:$C$51,MATCH($E109,Tipos!$A$5:$A$51,0)),"Tipo não encontrado"))</f>
        <v/>
      </c>
      <c r="P109" s="49">
        <f>IF($E109="","",IFERROR(INDEX(Tipos!$D$5:$D$51,MATCH($E109,Tipos!$A$5:$A$51,0)),""))</f>
        <v/>
      </c>
      <c r="Q109" s="49">
        <f>IF(COUNTA($B109:$F109)=0,"",IF($B109="","Falta Área",IF($C109="","Falta Setor",IF($D109="","Falta Equipamento",IF($E109="","Falta Tipo",IF($F109="","Falta Categoria",IF(COUNTIF($D$4:$D$303,$D109)&gt;1,"Nome repetido: diferencie (01, 02…)",IF(AND(ISNUMBER(SEARCH("Temperatura",$P109)),OR($L109="",$M109="")),"Falta faixa de temperatura",IF(AND(ISNUMBER($L109),ISNUMBER($M109),$L109&gt;$M109),"Temp. mínima maior que a máxima","OK")))))))))</f>
        <v/>
      </c>
      <c r="R109" s="49">
        <f>IF($E109="","",IFERROR(INDEX(Tipos!$B$5:$B$51,MATCH($E109,Tipos!$A$5:$A$51,0)),""))</f>
        <v/>
      </c>
    </row>
    <row r="110" ht="15" customHeight="1" s="33">
      <c r="A110" s="50" t="inlineStr">
        <is>
          <t>RioMar Recife</t>
        </is>
      </c>
      <c r="B110" s="50" t="n"/>
      <c r="C110" s="50" t="n"/>
      <c r="D110" s="50" t="n"/>
      <c r="E110" s="50" t="n"/>
      <c r="F110" s="50" t="n"/>
      <c r="G110" s="50" t="n"/>
      <c r="H110" s="50" t="n"/>
      <c r="I110" s="50" t="n"/>
      <c r="J110" s="50" t="n"/>
      <c r="K110" s="51" t="n"/>
      <c r="L110" s="51" t="n"/>
      <c r="M110" s="51" t="n"/>
      <c r="N110" s="50" t="n"/>
      <c r="O110" s="49">
        <f>IF($E110="","",IFERROR(INDEX(Tipos!$C$5:$C$51,MATCH($E110,Tipos!$A$5:$A$51,0)),"Tipo não encontrado"))</f>
        <v/>
      </c>
      <c r="P110" s="49">
        <f>IF($E110="","",IFERROR(INDEX(Tipos!$D$5:$D$51,MATCH($E110,Tipos!$A$5:$A$51,0)),""))</f>
        <v/>
      </c>
      <c r="Q110" s="49">
        <f>IF(COUNTA($B110:$F110)=0,"",IF($B110="","Falta Área",IF($C110="","Falta Setor",IF($D110="","Falta Equipamento",IF($E110="","Falta Tipo",IF($F110="","Falta Categoria",IF(COUNTIF($D$4:$D$303,$D110)&gt;1,"Nome repetido: diferencie (01, 02…)",IF(AND(ISNUMBER(SEARCH("Temperatura",$P110)),OR($L110="",$M110="")),"Falta faixa de temperatura",IF(AND(ISNUMBER($L110),ISNUMBER($M110),$L110&gt;$M110),"Temp. mínima maior que a máxima","OK")))))))))</f>
        <v/>
      </c>
      <c r="R110" s="49">
        <f>IF($E110="","",IFERROR(INDEX(Tipos!$B$5:$B$51,MATCH($E110,Tipos!$A$5:$A$51,0)),""))</f>
        <v/>
      </c>
    </row>
    <row r="111" ht="15" customHeight="1" s="33">
      <c r="A111" s="50" t="inlineStr">
        <is>
          <t>RioMar Recife</t>
        </is>
      </c>
      <c r="B111" s="50" t="n"/>
      <c r="C111" s="50" t="n"/>
      <c r="D111" s="50" t="n"/>
      <c r="E111" s="50" t="n"/>
      <c r="F111" s="50" t="n"/>
      <c r="G111" s="50" t="n"/>
      <c r="H111" s="50" t="n"/>
      <c r="I111" s="50" t="n"/>
      <c r="J111" s="50" t="n"/>
      <c r="K111" s="51" t="n"/>
      <c r="L111" s="51" t="n"/>
      <c r="M111" s="51" t="n"/>
      <c r="N111" s="50" t="n"/>
      <c r="O111" s="49">
        <f>IF($E111="","",IFERROR(INDEX(Tipos!$C$5:$C$51,MATCH($E111,Tipos!$A$5:$A$51,0)),"Tipo não encontrado"))</f>
        <v/>
      </c>
      <c r="P111" s="49">
        <f>IF($E111="","",IFERROR(INDEX(Tipos!$D$5:$D$51,MATCH($E111,Tipos!$A$5:$A$51,0)),""))</f>
        <v/>
      </c>
      <c r="Q111" s="49">
        <f>IF(COUNTA($B111:$F111)=0,"",IF($B111="","Falta Área",IF($C111="","Falta Setor",IF($D111="","Falta Equipamento",IF($E111="","Falta Tipo",IF($F111="","Falta Categoria",IF(COUNTIF($D$4:$D$303,$D111)&gt;1,"Nome repetido: diferencie (01, 02…)",IF(AND(ISNUMBER(SEARCH("Temperatura",$P111)),OR($L111="",$M111="")),"Falta faixa de temperatura",IF(AND(ISNUMBER($L111),ISNUMBER($M111),$L111&gt;$M111),"Temp. mínima maior que a máxima","OK")))))))))</f>
        <v/>
      </c>
      <c r="R111" s="49">
        <f>IF($E111="","",IFERROR(INDEX(Tipos!$B$5:$B$51,MATCH($E111,Tipos!$A$5:$A$51,0)),""))</f>
        <v/>
      </c>
    </row>
    <row r="112" ht="15" customHeight="1" s="33">
      <c r="A112" s="50" t="inlineStr">
        <is>
          <t>RioMar Recife</t>
        </is>
      </c>
      <c r="B112" s="50" t="n"/>
      <c r="C112" s="50" t="n"/>
      <c r="D112" s="50" t="n"/>
      <c r="E112" s="50" t="n"/>
      <c r="F112" s="50" t="n"/>
      <c r="G112" s="50" t="n"/>
      <c r="H112" s="50" t="n"/>
      <c r="I112" s="50" t="n"/>
      <c r="J112" s="50" t="n"/>
      <c r="K112" s="51" t="n"/>
      <c r="L112" s="51" t="n"/>
      <c r="M112" s="51" t="n"/>
      <c r="N112" s="50" t="n"/>
      <c r="O112" s="49">
        <f>IF($E112="","",IFERROR(INDEX(Tipos!$C$5:$C$51,MATCH($E112,Tipos!$A$5:$A$51,0)),"Tipo não encontrado"))</f>
        <v/>
      </c>
      <c r="P112" s="49">
        <f>IF($E112="","",IFERROR(INDEX(Tipos!$D$5:$D$51,MATCH($E112,Tipos!$A$5:$A$51,0)),""))</f>
        <v/>
      </c>
      <c r="Q112" s="49">
        <f>IF(COUNTA($B112:$F112)=0,"",IF($B112="","Falta Área",IF($C112="","Falta Setor",IF($D112="","Falta Equipamento",IF($E112="","Falta Tipo",IF($F112="","Falta Categoria",IF(COUNTIF($D$4:$D$303,$D112)&gt;1,"Nome repetido: diferencie (01, 02…)",IF(AND(ISNUMBER(SEARCH("Temperatura",$P112)),OR($L112="",$M112="")),"Falta faixa de temperatura",IF(AND(ISNUMBER($L112),ISNUMBER($M112),$L112&gt;$M112),"Temp. mínima maior que a máxima","OK")))))))))</f>
        <v/>
      </c>
      <c r="R112" s="49">
        <f>IF($E112="","",IFERROR(INDEX(Tipos!$B$5:$B$51,MATCH($E112,Tipos!$A$5:$A$51,0)),""))</f>
        <v/>
      </c>
    </row>
    <row r="113" ht="15" customHeight="1" s="33">
      <c r="A113" s="50" t="inlineStr">
        <is>
          <t>RioMar Recife</t>
        </is>
      </c>
      <c r="B113" s="50" t="n"/>
      <c r="C113" s="50" t="n"/>
      <c r="D113" s="50" t="n"/>
      <c r="E113" s="50" t="n"/>
      <c r="F113" s="50" t="n"/>
      <c r="G113" s="50" t="n"/>
      <c r="H113" s="50" t="n"/>
      <c r="I113" s="50" t="n"/>
      <c r="J113" s="50" t="n"/>
      <c r="K113" s="51" t="n"/>
      <c r="L113" s="51" t="n"/>
      <c r="M113" s="51" t="n"/>
      <c r="N113" s="50" t="n"/>
      <c r="O113" s="49">
        <f>IF($E113="","",IFERROR(INDEX(Tipos!$C$5:$C$51,MATCH($E113,Tipos!$A$5:$A$51,0)),"Tipo não encontrado"))</f>
        <v/>
      </c>
      <c r="P113" s="49">
        <f>IF($E113="","",IFERROR(INDEX(Tipos!$D$5:$D$51,MATCH($E113,Tipos!$A$5:$A$51,0)),""))</f>
        <v/>
      </c>
      <c r="Q113" s="49">
        <f>IF(COUNTA($B113:$F113)=0,"",IF($B113="","Falta Área",IF($C113="","Falta Setor",IF($D113="","Falta Equipamento",IF($E113="","Falta Tipo",IF($F113="","Falta Categoria",IF(COUNTIF($D$4:$D$303,$D113)&gt;1,"Nome repetido: diferencie (01, 02…)",IF(AND(ISNUMBER(SEARCH("Temperatura",$P113)),OR($L113="",$M113="")),"Falta faixa de temperatura",IF(AND(ISNUMBER($L113),ISNUMBER($M113),$L113&gt;$M113),"Temp. mínima maior que a máxima","OK")))))))))</f>
        <v/>
      </c>
      <c r="R113" s="49">
        <f>IF($E113="","",IFERROR(INDEX(Tipos!$B$5:$B$51,MATCH($E113,Tipos!$A$5:$A$51,0)),""))</f>
        <v/>
      </c>
    </row>
    <row r="114" ht="15" customHeight="1" s="33">
      <c r="A114" s="50" t="inlineStr">
        <is>
          <t>RioMar Recife</t>
        </is>
      </c>
      <c r="B114" s="50" t="n"/>
      <c r="C114" s="50" t="n"/>
      <c r="D114" s="50" t="n"/>
      <c r="E114" s="50" t="n"/>
      <c r="F114" s="50" t="n"/>
      <c r="G114" s="50" t="n"/>
      <c r="H114" s="50" t="n"/>
      <c r="I114" s="50" t="n"/>
      <c r="J114" s="50" t="n"/>
      <c r="K114" s="51" t="n"/>
      <c r="L114" s="51" t="n"/>
      <c r="M114" s="51" t="n"/>
      <c r="N114" s="50" t="n"/>
      <c r="O114" s="49">
        <f>IF($E114="","",IFERROR(INDEX(Tipos!$C$5:$C$51,MATCH($E114,Tipos!$A$5:$A$51,0)),"Tipo não encontrado"))</f>
        <v/>
      </c>
      <c r="P114" s="49">
        <f>IF($E114="","",IFERROR(INDEX(Tipos!$D$5:$D$51,MATCH($E114,Tipos!$A$5:$A$51,0)),""))</f>
        <v/>
      </c>
      <c r="Q114" s="49">
        <f>IF(COUNTA($B114:$F114)=0,"",IF($B114="","Falta Área",IF($C114="","Falta Setor",IF($D114="","Falta Equipamento",IF($E114="","Falta Tipo",IF($F114="","Falta Categoria",IF(COUNTIF($D$4:$D$303,$D114)&gt;1,"Nome repetido: diferencie (01, 02…)",IF(AND(ISNUMBER(SEARCH("Temperatura",$P114)),OR($L114="",$M114="")),"Falta faixa de temperatura",IF(AND(ISNUMBER($L114),ISNUMBER($M114),$L114&gt;$M114),"Temp. mínima maior que a máxima","OK")))))))))</f>
        <v/>
      </c>
      <c r="R114" s="49">
        <f>IF($E114="","",IFERROR(INDEX(Tipos!$B$5:$B$51,MATCH($E114,Tipos!$A$5:$A$51,0)),""))</f>
        <v/>
      </c>
    </row>
    <row r="115" ht="15" customHeight="1" s="33">
      <c r="A115" s="50" t="inlineStr">
        <is>
          <t>RioMar Recife</t>
        </is>
      </c>
      <c r="B115" s="50" t="n"/>
      <c r="C115" s="50" t="n"/>
      <c r="D115" s="50" t="n"/>
      <c r="E115" s="50" t="n"/>
      <c r="F115" s="50" t="n"/>
      <c r="G115" s="50" t="n"/>
      <c r="H115" s="50" t="n"/>
      <c r="I115" s="50" t="n"/>
      <c r="J115" s="50" t="n"/>
      <c r="K115" s="51" t="n"/>
      <c r="L115" s="51" t="n"/>
      <c r="M115" s="51" t="n"/>
      <c r="N115" s="50" t="n"/>
      <c r="O115" s="49">
        <f>IF($E115="","",IFERROR(INDEX(Tipos!$C$5:$C$51,MATCH($E115,Tipos!$A$5:$A$51,0)),"Tipo não encontrado"))</f>
        <v/>
      </c>
      <c r="P115" s="49">
        <f>IF($E115="","",IFERROR(INDEX(Tipos!$D$5:$D$51,MATCH($E115,Tipos!$A$5:$A$51,0)),""))</f>
        <v/>
      </c>
      <c r="Q115" s="49">
        <f>IF(COUNTA($B115:$F115)=0,"",IF($B115="","Falta Área",IF($C115="","Falta Setor",IF($D115="","Falta Equipamento",IF($E115="","Falta Tipo",IF($F115="","Falta Categoria",IF(COUNTIF($D$4:$D$303,$D115)&gt;1,"Nome repetido: diferencie (01, 02…)",IF(AND(ISNUMBER(SEARCH("Temperatura",$P115)),OR($L115="",$M115="")),"Falta faixa de temperatura",IF(AND(ISNUMBER($L115),ISNUMBER($M115),$L115&gt;$M115),"Temp. mínima maior que a máxima","OK")))))))))</f>
        <v/>
      </c>
      <c r="R115" s="49">
        <f>IF($E115="","",IFERROR(INDEX(Tipos!$B$5:$B$51,MATCH($E115,Tipos!$A$5:$A$51,0)),""))</f>
        <v/>
      </c>
    </row>
    <row r="116" ht="15" customHeight="1" s="33">
      <c r="A116" s="50" t="inlineStr">
        <is>
          <t>RioMar Recife</t>
        </is>
      </c>
      <c r="B116" s="50" t="n"/>
      <c r="C116" s="50" t="n"/>
      <c r="D116" s="50" t="n"/>
      <c r="E116" s="50" t="n"/>
      <c r="F116" s="50" t="n"/>
      <c r="G116" s="50" t="n"/>
      <c r="H116" s="50" t="n"/>
      <c r="I116" s="50" t="n"/>
      <c r="J116" s="50" t="n"/>
      <c r="K116" s="51" t="n"/>
      <c r="L116" s="51" t="n"/>
      <c r="M116" s="51" t="n"/>
      <c r="N116" s="50" t="n"/>
      <c r="O116" s="49">
        <f>IF($E116="","",IFERROR(INDEX(Tipos!$C$5:$C$51,MATCH($E116,Tipos!$A$5:$A$51,0)),"Tipo não encontrado"))</f>
        <v/>
      </c>
      <c r="P116" s="49">
        <f>IF($E116="","",IFERROR(INDEX(Tipos!$D$5:$D$51,MATCH($E116,Tipos!$A$5:$A$51,0)),""))</f>
        <v/>
      </c>
      <c r="Q116" s="49">
        <f>IF(COUNTA($B116:$F116)=0,"",IF($B116="","Falta Área",IF($C116="","Falta Setor",IF($D116="","Falta Equipamento",IF($E116="","Falta Tipo",IF($F116="","Falta Categoria",IF(COUNTIF($D$4:$D$303,$D116)&gt;1,"Nome repetido: diferencie (01, 02…)",IF(AND(ISNUMBER(SEARCH("Temperatura",$P116)),OR($L116="",$M116="")),"Falta faixa de temperatura",IF(AND(ISNUMBER($L116),ISNUMBER($M116),$L116&gt;$M116),"Temp. mínima maior que a máxima","OK")))))))))</f>
        <v/>
      </c>
      <c r="R116" s="49">
        <f>IF($E116="","",IFERROR(INDEX(Tipos!$B$5:$B$51,MATCH($E116,Tipos!$A$5:$A$51,0)),""))</f>
        <v/>
      </c>
    </row>
    <row r="117" ht="15" customHeight="1" s="33">
      <c r="A117" s="50" t="inlineStr">
        <is>
          <t>RioMar Recife</t>
        </is>
      </c>
      <c r="B117" s="50" t="n"/>
      <c r="C117" s="50" t="n"/>
      <c r="D117" s="50" t="n"/>
      <c r="E117" s="50" t="n"/>
      <c r="F117" s="50" t="n"/>
      <c r="G117" s="50" t="n"/>
      <c r="H117" s="50" t="n"/>
      <c r="I117" s="50" t="n"/>
      <c r="J117" s="50" t="n"/>
      <c r="K117" s="51" t="n"/>
      <c r="L117" s="51" t="n"/>
      <c r="M117" s="51" t="n"/>
      <c r="N117" s="50" t="n"/>
      <c r="O117" s="49">
        <f>IF($E117="","",IFERROR(INDEX(Tipos!$C$5:$C$51,MATCH($E117,Tipos!$A$5:$A$51,0)),"Tipo não encontrado"))</f>
        <v/>
      </c>
      <c r="P117" s="49">
        <f>IF($E117="","",IFERROR(INDEX(Tipos!$D$5:$D$51,MATCH($E117,Tipos!$A$5:$A$51,0)),""))</f>
        <v/>
      </c>
      <c r="Q117" s="49">
        <f>IF(COUNTA($B117:$F117)=0,"",IF($B117="","Falta Área",IF($C117="","Falta Setor",IF($D117="","Falta Equipamento",IF($E117="","Falta Tipo",IF($F117="","Falta Categoria",IF(COUNTIF($D$4:$D$303,$D117)&gt;1,"Nome repetido: diferencie (01, 02…)",IF(AND(ISNUMBER(SEARCH("Temperatura",$P117)),OR($L117="",$M117="")),"Falta faixa de temperatura",IF(AND(ISNUMBER($L117),ISNUMBER($M117),$L117&gt;$M117),"Temp. mínima maior que a máxima","OK")))))))))</f>
        <v/>
      </c>
      <c r="R117" s="49">
        <f>IF($E117="","",IFERROR(INDEX(Tipos!$B$5:$B$51,MATCH($E117,Tipos!$A$5:$A$51,0)),""))</f>
        <v/>
      </c>
    </row>
    <row r="118" ht="15" customHeight="1" s="33">
      <c r="A118" s="50" t="inlineStr">
        <is>
          <t>RioMar Recife</t>
        </is>
      </c>
      <c r="B118" s="50" t="n"/>
      <c r="C118" s="50" t="n"/>
      <c r="D118" s="50" t="n"/>
      <c r="E118" s="50" t="n"/>
      <c r="F118" s="50" t="n"/>
      <c r="G118" s="50" t="n"/>
      <c r="H118" s="50" t="n"/>
      <c r="I118" s="50" t="n"/>
      <c r="J118" s="50" t="n"/>
      <c r="K118" s="51" t="n"/>
      <c r="L118" s="51" t="n"/>
      <c r="M118" s="51" t="n"/>
      <c r="N118" s="50" t="n"/>
      <c r="O118" s="49">
        <f>IF($E118="","",IFERROR(INDEX(Tipos!$C$5:$C$51,MATCH($E118,Tipos!$A$5:$A$51,0)),"Tipo não encontrado"))</f>
        <v/>
      </c>
      <c r="P118" s="49">
        <f>IF($E118="","",IFERROR(INDEX(Tipos!$D$5:$D$51,MATCH($E118,Tipos!$A$5:$A$51,0)),""))</f>
        <v/>
      </c>
      <c r="Q118" s="49">
        <f>IF(COUNTA($B118:$F118)=0,"",IF($B118="","Falta Área",IF($C118="","Falta Setor",IF($D118="","Falta Equipamento",IF($E118="","Falta Tipo",IF($F118="","Falta Categoria",IF(COUNTIF($D$4:$D$303,$D118)&gt;1,"Nome repetido: diferencie (01, 02…)",IF(AND(ISNUMBER(SEARCH("Temperatura",$P118)),OR($L118="",$M118="")),"Falta faixa de temperatura",IF(AND(ISNUMBER($L118),ISNUMBER($M118),$L118&gt;$M118),"Temp. mínima maior que a máxima","OK")))))))))</f>
        <v/>
      </c>
      <c r="R118" s="49">
        <f>IF($E118="","",IFERROR(INDEX(Tipos!$B$5:$B$51,MATCH($E118,Tipos!$A$5:$A$51,0)),""))</f>
        <v/>
      </c>
    </row>
    <row r="119" ht="15" customHeight="1" s="33">
      <c r="A119" s="50" t="inlineStr">
        <is>
          <t>RioMar Recife</t>
        </is>
      </c>
      <c r="B119" s="50" t="n"/>
      <c r="C119" s="50" t="n"/>
      <c r="D119" s="50" t="n"/>
      <c r="E119" s="50" t="n"/>
      <c r="F119" s="50" t="n"/>
      <c r="G119" s="50" t="n"/>
      <c r="H119" s="50" t="n"/>
      <c r="I119" s="50" t="n"/>
      <c r="J119" s="50" t="n"/>
      <c r="K119" s="51" t="n"/>
      <c r="L119" s="51" t="n"/>
      <c r="M119" s="51" t="n"/>
      <c r="N119" s="50" t="n"/>
      <c r="O119" s="49">
        <f>IF($E119="","",IFERROR(INDEX(Tipos!$C$5:$C$51,MATCH($E119,Tipos!$A$5:$A$51,0)),"Tipo não encontrado"))</f>
        <v/>
      </c>
      <c r="P119" s="49">
        <f>IF($E119="","",IFERROR(INDEX(Tipos!$D$5:$D$51,MATCH($E119,Tipos!$A$5:$A$51,0)),""))</f>
        <v/>
      </c>
      <c r="Q119" s="49">
        <f>IF(COUNTA($B119:$F119)=0,"",IF($B119="","Falta Área",IF($C119="","Falta Setor",IF($D119="","Falta Equipamento",IF($E119="","Falta Tipo",IF($F119="","Falta Categoria",IF(COUNTIF($D$4:$D$303,$D119)&gt;1,"Nome repetido: diferencie (01, 02…)",IF(AND(ISNUMBER(SEARCH("Temperatura",$P119)),OR($L119="",$M119="")),"Falta faixa de temperatura",IF(AND(ISNUMBER($L119),ISNUMBER($M119),$L119&gt;$M119),"Temp. mínima maior que a máxima","OK")))))))))</f>
        <v/>
      </c>
      <c r="R119" s="49">
        <f>IF($E119="","",IFERROR(INDEX(Tipos!$B$5:$B$51,MATCH($E119,Tipos!$A$5:$A$51,0)),""))</f>
        <v/>
      </c>
    </row>
    <row r="120" ht="15" customHeight="1" s="33">
      <c r="A120" s="50" t="inlineStr">
        <is>
          <t>RioMar Recife</t>
        </is>
      </c>
      <c r="B120" s="50" t="n"/>
      <c r="C120" s="50" t="n"/>
      <c r="D120" s="50" t="n"/>
      <c r="E120" s="50" t="n"/>
      <c r="F120" s="50" t="n"/>
      <c r="G120" s="50" t="n"/>
      <c r="H120" s="50" t="n"/>
      <c r="I120" s="50" t="n"/>
      <c r="J120" s="50" t="n"/>
      <c r="K120" s="51" t="n"/>
      <c r="L120" s="51" t="n"/>
      <c r="M120" s="51" t="n"/>
      <c r="N120" s="50" t="n"/>
      <c r="O120" s="49">
        <f>IF($E120="","",IFERROR(INDEX(Tipos!$C$5:$C$51,MATCH($E120,Tipos!$A$5:$A$51,0)),"Tipo não encontrado"))</f>
        <v/>
      </c>
      <c r="P120" s="49">
        <f>IF($E120="","",IFERROR(INDEX(Tipos!$D$5:$D$51,MATCH($E120,Tipos!$A$5:$A$51,0)),""))</f>
        <v/>
      </c>
      <c r="Q120" s="49">
        <f>IF(COUNTA($B120:$F120)=0,"",IF($B120="","Falta Área",IF($C120="","Falta Setor",IF($D120="","Falta Equipamento",IF($E120="","Falta Tipo",IF($F120="","Falta Categoria",IF(COUNTIF($D$4:$D$303,$D120)&gt;1,"Nome repetido: diferencie (01, 02…)",IF(AND(ISNUMBER(SEARCH("Temperatura",$P120)),OR($L120="",$M120="")),"Falta faixa de temperatura",IF(AND(ISNUMBER($L120),ISNUMBER($M120),$L120&gt;$M120),"Temp. mínima maior que a máxima","OK")))))))))</f>
        <v/>
      </c>
      <c r="R120" s="49">
        <f>IF($E120="","",IFERROR(INDEX(Tipos!$B$5:$B$51,MATCH($E120,Tipos!$A$5:$A$51,0)),""))</f>
        <v/>
      </c>
    </row>
    <row r="121" ht="15" customHeight="1" s="33">
      <c r="A121" s="50" t="inlineStr">
        <is>
          <t>RioMar Recife</t>
        </is>
      </c>
      <c r="B121" s="50" t="n"/>
      <c r="C121" s="50" t="n"/>
      <c r="D121" s="50" t="n"/>
      <c r="E121" s="50" t="n"/>
      <c r="F121" s="50" t="n"/>
      <c r="G121" s="50" t="n"/>
      <c r="H121" s="50" t="n"/>
      <c r="I121" s="50" t="n"/>
      <c r="J121" s="50" t="n"/>
      <c r="K121" s="51" t="n"/>
      <c r="L121" s="51" t="n"/>
      <c r="M121" s="51" t="n"/>
      <c r="N121" s="50" t="n"/>
      <c r="O121" s="49">
        <f>IF($E121="","",IFERROR(INDEX(Tipos!$C$5:$C$51,MATCH($E121,Tipos!$A$5:$A$51,0)),"Tipo não encontrado"))</f>
        <v/>
      </c>
      <c r="P121" s="49">
        <f>IF($E121="","",IFERROR(INDEX(Tipos!$D$5:$D$51,MATCH($E121,Tipos!$A$5:$A$51,0)),""))</f>
        <v/>
      </c>
      <c r="Q121" s="49">
        <f>IF(COUNTA($B121:$F121)=0,"",IF($B121="","Falta Área",IF($C121="","Falta Setor",IF($D121="","Falta Equipamento",IF($E121="","Falta Tipo",IF($F121="","Falta Categoria",IF(COUNTIF($D$4:$D$303,$D121)&gt;1,"Nome repetido: diferencie (01, 02…)",IF(AND(ISNUMBER(SEARCH("Temperatura",$P121)),OR($L121="",$M121="")),"Falta faixa de temperatura",IF(AND(ISNUMBER($L121),ISNUMBER($M121),$L121&gt;$M121),"Temp. mínima maior que a máxima","OK")))))))))</f>
        <v/>
      </c>
      <c r="R121" s="49">
        <f>IF($E121="","",IFERROR(INDEX(Tipos!$B$5:$B$51,MATCH($E121,Tipos!$A$5:$A$51,0)),""))</f>
        <v/>
      </c>
    </row>
    <row r="122" ht="15" customHeight="1" s="33">
      <c r="A122" s="50" t="inlineStr">
        <is>
          <t>RioMar Recife</t>
        </is>
      </c>
      <c r="B122" s="50" t="n"/>
      <c r="C122" s="50" t="n"/>
      <c r="D122" s="50" t="n"/>
      <c r="E122" s="50" t="n"/>
      <c r="F122" s="50" t="n"/>
      <c r="G122" s="50" t="n"/>
      <c r="H122" s="50" t="n"/>
      <c r="I122" s="50" t="n"/>
      <c r="J122" s="50" t="n"/>
      <c r="K122" s="51" t="n"/>
      <c r="L122" s="51" t="n"/>
      <c r="M122" s="51" t="n"/>
      <c r="N122" s="50" t="n"/>
      <c r="O122" s="49">
        <f>IF($E122="","",IFERROR(INDEX(Tipos!$C$5:$C$51,MATCH($E122,Tipos!$A$5:$A$51,0)),"Tipo não encontrado"))</f>
        <v/>
      </c>
      <c r="P122" s="49">
        <f>IF($E122="","",IFERROR(INDEX(Tipos!$D$5:$D$51,MATCH($E122,Tipos!$A$5:$A$51,0)),""))</f>
        <v/>
      </c>
      <c r="Q122" s="49">
        <f>IF(COUNTA($B122:$F122)=0,"",IF($B122="","Falta Área",IF($C122="","Falta Setor",IF($D122="","Falta Equipamento",IF($E122="","Falta Tipo",IF($F122="","Falta Categoria",IF(COUNTIF($D$4:$D$303,$D122)&gt;1,"Nome repetido: diferencie (01, 02…)",IF(AND(ISNUMBER(SEARCH("Temperatura",$P122)),OR($L122="",$M122="")),"Falta faixa de temperatura",IF(AND(ISNUMBER($L122),ISNUMBER($M122),$L122&gt;$M122),"Temp. mínima maior que a máxima","OK")))))))))</f>
        <v/>
      </c>
      <c r="R122" s="49">
        <f>IF($E122="","",IFERROR(INDEX(Tipos!$B$5:$B$51,MATCH($E122,Tipos!$A$5:$A$51,0)),""))</f>
        <v/>
      </c>
    </row>
    <row r="123" ht="15" customHeight="1" s="33">
      <c r="A123" s="50" t="inlineStr">
        <is>
          <t>RioMar Recife</t>
        </is>
      </c>
      <c r="B123" s="50" t="n"/>
      <c r="C123" s="50" t="n"/>
      <c r="D123" s="50" t="n"/>
      <c r="E123" s="50" t="n"/>
      <c r="F123" s="50" t="n"/>
      <c r="G123" s="50" t="n"/>
      <c r="H123" s="50" t="n"/>
      <c r="I123" s="50" t="n"/>
      <c r="J123" s="50" t="n"/>
      <c r="K123" s="51" t="n"/>
      <c r="L123" s="51" t="n"/>
      <c r="M123" s="51" t="n"/>
      <c r="N123" s="50" t="n"/>
      <c r="O123" s="49">
        <f>IF($E123="","",IFERROR(INDEX(Tipos!$C$5:$C$51,MATCH($E123,Tipos!$A$5:$A$51,0)),"Tipo não encontrado"))</f>
        <v/>
      </c>
      <c r="P123" s="49">
        <f>IF($E123="","",IFERROR(INDEX(Tipos!$D$5:$D$51,MATCH($E123,Tipos!$A$5:$A$51,0)),""))</f>
        <v/>
      </c>
      <c r="Q123" s="49">
        <f>IF(COUNTA($B123:$F123)=0,"",IF($B123="","Falta Área",IF($C123="","Falta Setor",IF($D123="","Falta Equipamento",IF($E123="","Falta Tipo",IF($F123="","Falta Categoria",IF(COUNTIF($D$4:$D$303,$D123)&gt;1,"Nome repetido: diferencie (01, 02…)",IF(AND(ISNUMBER(SEARCH("Temperatura",$P123)),OR($L123="",$M123="")),"Falta faixa de temperatura",IF(AND(ISNUMBER($L123),ISNUMBER($M123),$L123&gt;$M123),"Temp. mínima maior que a máxima","OK")))))))))</f>
        <v/>
      </c>
      <c r="R123" s="49">
        <f>IF($E123="","",IFERROR(INDEX(Tipos!$B$5:$B$51,MATCH($E123,Tipos!$A$5:$A$51,0)),""))</f>
        <v/>
      </c>
    </row>
    <row r="124" ht="15" customHeight="1" s="33">
      <c r="A124" s="50" t="inlineStr">
        <is>
          <t>RioMar Recife</t>
        </is>
      </c>
      <c r="B124" s="50" t="n"/>
      <c r="C124" s="50" t="n"/>
      <c r="D124" s="50" t="n"/>
      <c r="E124" s="50" t="n"/>
      <c r="F124" s="50" t="n"/>
      <c r="G124" s="50" t="n"/>
      <c r="H124" s="50" t="n"/>
      <c r="I124" s="50" t="n"/>
      <c r="J124" s="50" t="n"/>
      <c r="K124" s="51" t="n"/>
      <c r="L124" s="51" t="n"/>
      <c r="M124" s="51" t="n"/>
      <c r="N124" s="50" t="n"/>
      <c r="O124" s="49">
        <f>IF($E124="","",IFERROR(INDEX(Tipos!$C$5:$C$51,MATCH($E124,Tipos!$A$5:$A$51,0)),"Tipo não encontrado"))</f>
        <v/>
      </c>
      <c r="P124" s="49">
        <f>IF($E124="","",IFERROR(INDEX(Tipos!$D$5:$D$51,MATCH($E124,Tipos!$A$5:$A$51,0)),""))</f>
        <v/>
      </c>
      <c r="Q124" s="49">
        <f>IF(COUNTA($B124:$F124)=0,"",IF($B124="","Falta Área",IF($C124="","Falta Setor",IF($D124="","Falta Equipamento",IF($E124="","Falta Tipo",IF($F124="","Falta Categoria",IF(COUNTIF($D$4:$D$303,$D124)&gt;1,"Nome repetido: diferencie (01, 02…)",IF(AND(ISNUMBER(SEARCH("Temperatura",$P124)),OR($L124="",$M124="")),"Falta faixa de temperatura",IF(AND(ISNUMBER($L124),ISNUMBER($M124),$L124&gt;$M124),"Temp. mínima maior que a máxima","OK")))))))))</f>
        <v/>
      </c>
      <c r="R124" s="49">
        <f>IF($E124="","",IFERROR(INDEX(Tipos!$B$5:$B$51,MATCH($E124,Tipos!$A$5:$A$51,0)),""))</f>
        <v/>
      </c>
    </row>
    <row r="125" ht="15" customHeight="1" s="33">
      <c r="A125" s="50" t="inlineStr">
        <is>
          <t>RioMar Recife</t>
        </is>
      </c>
      <c r="B125" s="50" t="n"/>
      <c r="C125" s="50" t="n"/>
      <c r="D125" s="50" t="n"/>
      <c r="E125" s="50" t="n"/>
      <c r="F125" s="50" t="n"/>
      <c r="G125" s="50" t="n"/>
      <c r="H125" s="50" t="n"/>
      <c r="I125" s="50" t="n"/>
      <c r="J125" s="50" t="n"/>
      <c r="K125" s="51" t="n"/>
      <c r="L125" s="51" t="n"/>
      <c r="M125" s="51" t="n"/>
      <c r="N125" s="50" t="n"/>
      <c r="O125" s="49">
        <f>IF($E125="","",IFERROR(INDEX(Tipos!$C$5:$C$51,MATCH($E125,Tipos!$A$5:$A$51,0)),"Tipo não encontrado"))</f>
        <v/>
      </c>
      <c r="P125" s="49">
        <f>IF($E125="","",IFERROR(INDEX(Tipos!$D$5:$D$51,MATCH($E125,Tipos!$A$5:$A$51,0)),""))</f>
        <v/>
      </c>
      <c r="Q125" s="49">
        <f>IF(COUNTA($B125:$F125)=0,"",IF($B125="","Falta Área",IF($C125="","Falta Setor",IF($D125="","Falta Equipamento",IF($E125="","Falta Tipo",IF($F125="","Falta Categoria",IF(COUNTIF($D$4:$D$303,$D125)&gt;1,"Nome repetido: diferencie (01, 02…)",IF(AND(ISNUMBER(SEARCH("Temperatura",$P125)),OR($L125="",$M125="")),"Falta faixa de temperatura",IF(AND(ISNUMBER($L125),ISNUMBER($M125),$L125&gt;$M125),"Temp. mínima maior que a máxima","OK")))))))))</f>
        <v/>
      </c>
      <c r="R125" s="49">
        <f>IF($E125="","",IFERROR(INDEX(Tipos!$B$5:$B$51,MATCH($E125,Tipos!$A$5:$A$51,0)),""))</f>
        <v/>
      </c>
    </row>
    <row r="126" ht="15" customHeight="1" s="33">
      <c r="A126" s="50" t="inlineStr">
        <is>
          <t>RioMar Recife</t>
        </is>
      </c>
      <c r="B126" s="50" t="n"/>
      <c r="C126" s="50" t="n"/>
      <c r="D126" s="50" t="n"/>
      <c r="E126" s="50" t="n"/>
      <c r="F126" s="50" t="n"/>
      <c r="G126" s="50" t="n"/>
      <c r="H126" s="50" t="n"/>
      <c r="I126" s="50" t="n"/>
      <c r="J126" s="50" t="n"/>
      <c r="K126" s="51" t="n"/>
      <c r="L126" s="51" t="n"/>
      <c r="M126" s="51" t="n"/>
      <c r="N126" s="50" t="n"/>
      <c r="O126" s="49">
        <f>IF($E126="","",IFERROR(INDEX(Tipos!$C$5:$C$51,MATCH($E126,Tipos!$A$5:$A$51,0)),"Tipo não encontrado"))</f>
        <v/>
      </c>
      <c r="P126" s="49">
        <f>IF($E126="","",IFERROR(INDEX(Tipos!$D$5:$D$51,MATCH($E126,Tipos!$A$5:$A$51,0)),""))</f>
        <v/>
      </c>
      <c r="Q126" s="49">
        <f>IF(COUNTA($B126:$F126)=0,"",IF($B126="","Falta Área",IF($C126="","Falta Setor",IF($D126="","Falta Equipamento",IF($E126="","Falta Tipo",IF($F126="","Falta Categoria",IF(COUNTIF($D$4:$D$303,$D126)&gt;1,"Nome repetido: diferencie (01, 02…)",IF(AND(ISNUMBER(SEARCH("Temperatura",$P126)),OR($L126="",$M126="")),"Falta faixa de temperatura",IF(AND(ISNUMBER($L126),ISNUMBER($M126),$L126&gt;$M126),"Temp. mínima maior que a máxima","OK")))))))))</f>
        <v/>
      </c>
      <c r="R126" s="49">
        <f>IF($E126="","",IFERROR(INDEX(Tipos!$B$5:$B$51,MATCH($E126,Tipos!$A$5:$A$51,0)),""))</f>
        <v/>
      </c>
    </row>
    <row r="127" ht="15" customHeight="1" s="33">
      <c r="A127" s="50" t="inlineStr">
        <is>
          <t>RioMar Recife</t>
        </is>
      </c>
      <c r="B127" s="50" t="n"/>
      <c r="C127" s="50" t="n"/>
      <c r="D127" s="50" t="n"/>
      <c r="E127" s="50" t="n"/>
      <c r="F127" s="50" t="n"/>
      <c r="G127" s="50" t="n"/>
      <c r="H127" s="50" t="n"/>
      <c r="I127" s="50" t="n"/>
      <c r="J127" s="50" t="n"/>
      <c r="K127" s="51" t="n"/>
      <c r="L127" s="51" t="n"/>
      <c r="M127" s="51" t="n"/>
      <c r="N127" s="50" t="n"/>
      <c r="O127" s="49">
        <f>IF($E127="","",IFERROR(INDEX(Tipos!$C$5:$C$51,MATCH($E127,Tipos!$A$5:$A$51,0)),"Tipo não encontrado"))</f>
        <v/>
      </c>
      <c r="P127" s="49">
        <f>IF($E127="","",IFERROR(INDEX(Tipos!$D$5:$D$51,MATCH($E127,Tipos!$A$5:$A$51,0)),""))</f>
        <v/>
      </c>
      <c r="Q127" s="49">
        <f>IF(COUNTA($B127:$F127)=0,"",IF($B127="","Falta Área",IF($C127="","Falta Setor",IF($D127="","Falta Equipamento",IF($E127="","Falta Tipo",IF($F127="","Falta Categoria",IF(COUNTIF($D$4:$D$303,$D127)&gt;1,"Nome repetido: diferencie (01, 02…)",IF(AND(ISNUMBER(SEARCH("Temperatura",$P127)),OR($L127="",$M127="")),"Falta faixa de temperatura",IF(AND(ISNUMBER($L127),ISNUMBER($M127),$L127&gt;$M127),"Temp. mínima maior que a máxima","OK")))))))))</f>
        <v/>
      </c>
      <c r="R127" s="49">
        <f>IF($E127="","",IFERROR(INDEX(Tipos!$B$5:$B$51,MATCH($E127,Tipos!$A$5:$A$51,0)),""))</f>
        <v/>
      </c>
    </row>
    <row r="128" ht="15" customHeight="1" s="33">
      <c r="A128" s="50" t="inlineStr">
        <is>
          <t>RioMar Recife</t>
        </is>
      </c>
      <c r="B128" s="50" t="n"/>
      <c r="C128" s="50" t="n"/>
      <c r="D128" s="50" t="n"/>
      <c r="E128" s="50" t="n"/>
      <c r="F128" s="50" t="n"/>
      <c r="G128" s="50" t="n"/>
      <c r="H128" s="50" t="n"/>
      <c r="I128" s="50" t="n"/>
      <c r="J128" s="50" t="n"/>
      <c r="K128" s="51" t="n"/>
      <c r="L128" s="51" t="n"/>
      <c r="M128" s="51" t="n"/>
      <c r="N128" s="50" t="n"/>
      <c r="O128" s="49">
        <f>IF($E128="","",IFERROR(INDEX(Tipos!$C$5:$C$51,MATCH($E128,Tipos!$A$5:$A$51,0)),"Tipo não encontrado"))</f>
        <v/>
      </c>
      <c r="P128" s="49">
        <f>IF($E128="","",IFERROR(INDEX(Tipos!$D$5:$D$51,MATCH($E128,Tipos!$A$5:$A$51,0)),""))</f>
        <v/>
      </c>
      <c r="Q128" s="49">
        <f>IF(COUNTA($B128:$F128)=0,"",IF($B128="","Falta Área",IF($C128="","Falta Setor",IF($D128="","Falta Equipamento",IF($E128="","Falta Tipo",IF($F128="","Falta Categoria",IF(COUNTIF($D$4:$D$303,$D128)&gt;1,"Nome repetido: diferencie (01, 02…)",IF(AND(ISNUMBER(SEARCH("Temperatura",$P128)),OR($L128="",$M128="")),"Falta faixa de temperatura",IF(AND(ISNUMBER($L128),ISNUMBER($M128),$L128&gt;$M128),"Temp. mínima maior que a máxima","OK")))))))))</f>
        <v/>
      </c>
      <c r="R128" s="49">
        <f>IF($E128="","",IFERROR(INDEX(Tipos!$B$5:$B$51,MATCH($E128,Tipos!$A$5:$A$51,0)),""))</f>
        <v/>
      </c>
    </row>
    <row r="129" ht="15" customHeight="1" s="33">
      <c r="A129" s="50" t="inlineStr">
        <is>
          <t>RioMar Recife</t>
        </is>
      </c>
      <c r="B129" s="50" t="n"/>
      <c r="C129" s="50" t="n"/>
      <c r="D129" s="50" t="n"/>
      <c r="E129" s="50" t="n"/>
      <c r="F129" s="50" t="n"/>
      <c r="G129" s="50" t="n"/>
      <c r="H129" s="50" t="n"/>
      <c r="I129" s="50" t="n"/>
      <c r="J129" s="50" t="n"/>
      <c r="K129" s="51" t="n"/>
      <c r="L129" s="51" t="n"/>
      <c r="M129" s="51" t="n"/>
      <c r="N129" s="50" t="n"/>
      <c r="O129" s="49">
        <f>IF($E129="","",IFERROR(INDEX(Tipos!$C$5:$C$51,MATCH($E129,Tipos!$A$5:$A$51,0)),"Tipo não encontrado"))</f>
        <v/>
      </c>
      <c r="P129" s="49">
        <f>IF($E129="","",IFERROR(INDEX(Tipos!$D$5:$D$51,MATCH($E129,Tipos!$A$5:$A$51,0)),""))</f>
        <v/>
      </c>
      <c r="Q129" s="49">
        <f>IF(COUNTA($B129:$F129)=0,"",IF($B129="","Falta Área",IF($C129="","Falta Setor",IF($D129="","Falta Equipamento",IF($E129="","Falta Tipo",IF($F129="","Falta Categoria",IF(COUNTIF($D$4:$D$303,$D129)&gt;1,"Nome repetido: diferencie (01, 02…)",IF(AND(ISNUMBER(SEARCH("Temperatura",$P129)),OR($L129="",$M129="")),"Falta faixa de temperatura",IF(AND(ISNUMBER($L129),ISNUMBER($M129),$L129&gt;$M129),"Temp. mínima maior que a máxima","OK")))))))))</f>
        <v/>
      </c>
      <c r="R129" s="49">
        <f>IF($E129="","",IFERROR(INDEX(Tipos!$B$5:$B$51,MATCH($E129,Tipos!$A$5:$A$51,0)),""))</f>
        <v/>
      </c>
    </row>
    <row r="130" ht="15" customHeight="1" s="33">
      <c r="A130" s="50" t="inlineStr">
        <is>
          <t>RioMar Recife</t>
        </is>
      </c>
      <c r="B130" s="50" t="n"/>
      <c r="C130" s="50" t="n"/>
      <c r="D130" s="50" t="n"/>
      <c r="E130" s="50" t="n"/>
      <c r="F130" s="50" t="n"/>
      <c r="G130" s="50" t="n"/>
      <c r="H130" s="50" t="n"/>
      <c r="I130" s="50" t="n"/>
      <c r="J130" s="50" t="n"/>
      <c r="K130" s="51" t="n"/>
      <c r="L130" s="51" t="n"/>
      <c r="M130" s="51" t="n"/>
      <c r="N130" s="50" t="n"/>
      <c r="O130" s="49">
        <f>IF($E130="","",IFERROR(INDEX(Tipos!$C$5:$C$51,MATCH($E130,Tipos!$A$5:$A$51,0)),"Tipo não encontrado"))</f>
        <v/>
      </c>
      <c r="P130" s="49">
        <f>IF($E130="","",IFERROR(INDEX(Tipos!$D$5:$D$51,MATCH($E130,Tipos!$A$5:$A$51,0)),""))</f>
        <v/>
      </c>
      <c r="Q130" s="49">
        <f>IF(COUNTA($B130:$F130)=0,"",IF($B130="","Falta Área",IF($C130="","Falta Setor",IF($D130="","Falta Equipamento",IF($E130="","Falta Tipo",IF($F130="","Falta Categoria",IF(COUNTIF($D$4:$D$303,$D130)&gt;1,"Nome repetido: diferencie (01, 02…)",IF(AND(ISNUMBER(SEARCH("Temperatura",$P130)),OR($L130="",$M130="")),"Falta faixa de temperatura",IF(AND(ISNUMBER($L130),ISNUMBER($M130),$L130&gt;$M130),"Temp. mínima maior que a máxima","OK")))))))))</f>
        <v/>
      </c>
      <c r="R130" s="49">
        <f>IF($E130="","",IFERROR(INDEX(Tipos!$B$5:$B$51,MATCH($E130,Tipos!$A$5:$A$51,0)),""))</f>
        <v/>
      </c>
    </row>
    <row r="131" ht="15" customHeight="1" s="33">
      <c r="A131" s="50" t="inlineStr">
        <is>
          <t>RioMar Recife</t>
        </is>
      </c>
      <c r="B131" s="50" t="n"/>
      <c r="C131" s="50" t="n"/>
      <c r="D131" s="50" t="n"/>
      <c r="E131" s="50" t="n"/>
      <c r="F131" s="50" t="n"/>
      <c r="G131" s="50" t="n"/>
      <c r="H131" s="50" t="n"/>
      <c r="I131" s="50" t="n"/>
      <c r="J131" s="50" t="n"/>
      <c r="K131" s="51" t="n"/>
      <c r="L131" s="51" t="n"/>
      <c r="M131" s="51" t="n"/>
      <c r="N131" s="50" t="n"/>
      <c r="O131" s="49">
        <f>IF($E131="","",IFERROR(INDEX(Tipos!$C$5:$C$51,MATCH($E131,Tipos!$A$5:$A$51,0)),"Tipo não encontrado"))</f>
        <v/>
      </c>
      <c r="P131" s="49">
        <f>IF($E131="","",IFERROR(INDEX(Tipos!$D$5:$D$51,MATCH($E131,Tipos!$A$5:$A$51,0)),""))</f>
        <v/>
      </c>
      <c r="Q131" s="49">
        <f>IF(COUNTA($B131:$F131)=0,"",IF($B131="","Falta Área",IF($C131="","Falta Setor",IF($D131="","Falta Equipamento",IF($E131="","Falta Tipo",IF($F131="","Falta Categoria",IF(COUNTIF($D$4:$D$303,$D131)&gt;1,"Nome repetido: diferencie (01, 02…)",IF(AND(ISNUMBER(SEARCH("Temperatura",$P131)),OR($L131="",$M131="")),"Falta faixa de temperatura",IF(AND(ISNUMBER($L131),ISNUMBER($M131),$L131&gt;$M131),"Temp. mínima maior que a máxima","OK")))))))))</f>
        <v/>
      </c>
      <c r="R131" s="49">
        <f>IF($E131="","",IFERROR(INDEX(Tipos!$B$5:$B$51,MATCH($E131,Tipos!$A$5:$A$51,0)),""))</f>
        <v/>
      </c>
    </row>
    <row r="132" ht="15" customHeight="1" s="33">
      <c r="A132" s="50" t="inlineStr">
        <is>
          <t>RioMar Recife</t>
        </is>
      </c>
      <c r="B132" s="50" t="n"/>
      <c r="C132" s="50" t="n"/>
      <c r="D132" s="50" t="n"/>
      <c r="E132" s="50" t="n"/>
      <c r="F132" s="50" t="n"/>
      <c r="G132" s="50" t="n"/>
      <c r="H132" s="50" t="n"/>
      <c r="I132" s="50" t="n"/>
      <c r="J132" s="50" t="n"/>
      <c r="K132" s="51" t="n"/>
      <c r="L132" s="51" t="n"/>
      <c r="M132" s="51" t="n"/>
      <c r="N132" s="50" t="n"/>
      <c r="O132" s="49">
        <f>IF($E132="","",IFERROR(INDEX(Tipos!$C$5:$C$51,MATCH($E132,Tipos!$A$5:$A$51,0)),"Tipo não encontrado"))</f>
        <v/>
      </c>
      <c r="P132" s="49">
        <f>IF($E132="","",IFERROR(INDEX(Tipos!$D$5:$D$51,MATCH($E132,Tipos!$A$5:$A$51,0)),""))</f>
        <v/>
      </c>
      <c r="Q132" s="49">
        <f>IF(COUNTA($B132:$F132)=0,"",IF($B132="","Falta Área",IF($C132="","Falta Setor",IF($D132="","Falta Equipamento",IF($E132="","Falta Tipo",IF($F132="","Falta Categoria",IF(COUNTIF($D$4:$D$303,$D132)&gt;1,"Nome repetido: diferencie (01, 02…)",IF(AND(ISNUMBER(SEARCH("Temperatura",$P132)),OR($L132="",$M132="")),"Falta faixa de temperatura",IF(AND(ISNUMBER($L132),ISNUMBER($M132),$L132&gt;$M132),"Temp. mínima maior que a máxima","OK")))))))))</f>
        <v/>
      </c>
      <c r="R132" s="49">
        <f>IF($E132="","",IFERROR(INDEX(Tipos!$B$5:$B$51,MATCH($E132,Tipos!$A$5:$A$51,0)),""))</f>
        <v/>
      </c>
    </row>
    <row r="133" ht="15" customHeight="1" s="33">
      <c r="A133" s="50" t="inlineStr">
        <is>
          <t>RioMar Recife</t>
        </is>
      </c>
      <c r="B133" s="50" t="n"/>
      <c r="C133" s="50" t="n"/>
      <c r="D133" s="50" t="n"/>
      <c r="E133" s="50" t="n"/>
      <c r="F133" s="50" t="n"/>
      <c r="G133" s="50" t="n"/>
      <c r="H133" s="50" t="n"/>
      <c r="I133" s="50" t="n"/>
      <c r="J133" s="50" t="n"/>
      <c r="K133" s="51" t="n"/>
      <c r="L133" s="51" t="n"/>
      <c r="M133" s="51" t="n"/>
      <c r="N133" s="50" t="n"/>
      <c r="O133" s="49">
        <f>IF($E133="","",IFERROR(INDEX(Tipos!$C$5:$C$51,MATCH($E133,Tipos!$A$5:$A$51,0)),"Tipo não encontrado"))</f>
        <v/>
      </c>
      <c r="P133" s="49">
        <f>IF($E133="","",IFERROR(INDEX(Tipos!$D$5:$D$51,MATCH($E133,Tipos!$A$5:$A$51,0)),""))</f>
        <v/>
      </c>
      <c r="Q133" s="49">
        <f>IF(COUNTA($B133:$F133)=0,"",IF($B133="","Falta Área",IF($C133="","Falta Setor",IF($D133="","Falta Equipamento",IF($E133="","Falta Tipo",IF($F133="","Falta Categoria",IF(COUNTIF($D$4:$D$303,$D133)&gt;1,"Nome repetido: diferencie (01, 02…)",IF(AND(ISNUMBER(SEARCH("Temperatura",$P133)),OR($L133="",$M133="")),"Falta faixa de temperatura",IF(AND(ISNUMBER($L133),ISNUMBER($M133),$L133&gt;$M133),"Temp. mínima maior que a máxima","OK")))))))))</f>
        <v/>
      </c>
      <c r="R133" s="49">
        <f>IF($E133="","",IFERROR(INDEX(Tipos!$B$5:$B$51,MATCH($E133,Tipos!$A$5:$A$51,0)),""))</f>
        <v/>
      </c>
    </row>
    <row r="134" ht="15" customHeight="1" s="33">
      <c r="A134" s="50" t="inlineStr">
        <is>
          <t>RioMar Recife</t>
        </is>
      </c>
      <c r="B134" s="50" t="n"/>
      <c r="C134" s="50" t="n"/>
      <c r="D134" s="50" t="n"/>
      <c r="E134" s="50" t="n"/>
      <c r="F134" s="50" t="n"/>
      <c r="G134" s="50" t="n"/>
      <c r="H134" s="50" t="n"/>
      <c r="I134" s="50" t="n"/>
      <c r="J134" s="50" t="n"/>
      <c r="K134" s="51" t="n"/>
      <c r="L134" s="51" t="n"/>
      <c r="M134" s="51" t="n"/>
      <c r="N134" s="50" t="n"/>
      <c r="O134" s="49">
        <f>IF($E134="","",IFERROR(INDEX(Tipos!$C$5:$C$51,MATCH($E134,Tipos!$A$5:$A$51,0)),"Tipo não encontrado"))</f>
        <v/>
      </c>
      <c r="P134" s="49">
        <f>IF($E134="","",IFERROR(INDEX(Tipos!$D$5:$D$51,MATCH($E134,Tipos!$A$5:$A$51,0)),""))</f>
        <v/>
      </c>
      <c r="Q134" s="49">
        <f>IF(COUNTA($B134:$F134)=0,"",IF($B134="","Falta Área",IF($C134="","Falta Setor",IF($D134="","Falta Equipamento",IF($E134="","Falta Tipo",IF($F134="","Falta Categoria",IF(COUNTIF($D$4:$D$303,$D134)&gt;1,"Nome repetido: diferencie (01, 02…)",IF(AND(ISNUMBER(SEARCH("Temperatura",$P134)),OR($L134="",$M134="")),"Falta faixa de temperatura",IF(AND(ISNUMBER($L134),ISNUMBER($M134),$L134&gt;$M134),"Temp. mínima maior que a máxima","OK")))))))))</f>
        <v/>
      </c>
      <c r="R134" s="49">
        <f>IF($E134="","",IFERROR(INDEX(Tipos!$B$5:$B$51,MATCH($E134,Tipos!$A$5:$A$51,0)),""))</f>
        <v/>
      </c>
    </row>
    <row r="135" ht="15" customHeight="1" s="33">
      <c r="A135" s="50" t="inlineStr">
        <is>
          <t>RioMar Recife</t>
        </is>
      </c>
      <c r="B135" s="50" t="n"/>
      <c r="C135" s="50" t="n"/>
      <c r="D135" s="50" t="n"/>
      <c r="E135" s="50" t="n"/>
      <c r="F135" s="50" t="n"/>
      <c r="G135" s="50" t="n"/>
      <c r="H135" s="50" t="n"/>
      <c r="I135" s="50" t="n"/>
      <c r="J135" s="50" t="n"/>
      <c r="K135" s="51" t="n"/>
      <c r="L135" s="51" t="n"/>
      <c r="M135" s="51" t="n"/>
      <c r="N135" s="50" t="n"/>
      <c r="O135" s="49">
        <f>IF($E135="","",IFERROR(INDEX(Tipos!$C$5:$C$51,MATCH($E135,Tipos!$A$5:$A$51,0)),"Tipo não encontrado"))</f>
        <v/>
      </c>
      <c r="P135" s="49">
        <f>IF($E135="","",IFERROR(INDEX(Tipos!$D$5:$D$51,MATCH($E135,Tipos!$A$5:$A$51,0)),""))</f>
        <v/>
      </c>
      <c r="Q135" s="49">
        <f>IF(COUNTA($B135:$F135)=0,"",IF($B135="","Falta Área",IF($C135="","Falta Setor",IF($D135="","Falta Equipamento",IF($E135="","Falta Tipo",IF($F135="","Falta Categoria",IF(COUNTIF($D$4:$D$303,$D135)&gt;1,"Nome repetido: diferencie (01, 02…)",IF(AND(ISNUMBER(SEARCH("Temperatura",$P135)),OR($L135="",$M135="")),"Falta faixa de temperatura",IF(AND(ISNUMBER($L135),ISNUMBER($M135),$L135&gt;$M135),"Temp. mínima maior que a máxima","OK")))))))))</f>
        <v/>
      </c>
      <c r="R135" s="49">
        <f>IF($E135="","",IFERROR(INDEX(Tipos!$B$5:$B$51,MATCH($E135,Tipos!$A$5:$A$51,0)),""))</f>
        <v/>
      </c>
    </row>
    <row r="136" ht="15" customHeight="1" s="33">
      <c r="A136" s="50" t="inlineStr">
        <is>
          <t>RioMar Recife</t>
        </is>
      </c>
      <c r="B136" s="50" t="n"/>
      <c r="C136" s="50" t="n"/>
      <c r="D136" s="50" t="n"/>
      <c r="E136" s="50" t="n"/>
      <c r="F136" s="50" t="n"/>
      <c r="G136" s="50" t="n"/>
      <c r="H136" s="50" t="n"/>
      <c r="I136" s="50" t="n"/>
      <c r="J136" s="50" t="n"/>
      <c r="K136" s="51" t="n"/>
      <c r="L136" s="51" t="n"/>
      <c r="M136" s="51" t="n"/>
      <c r="N136" s="50" t="n"/>
      <c r="O136" s="49">
        <f>IF($E136="","",IFERROR(INDEX(Tipos!$C$5:$C$51,MATCH($E136,Tipos!$A$5:$A$51,0)),"Tipo não encontrado"))</f>
        <v/>
      </c>
      <c r="P136" s="49">
        <f>IF($E136="","",IFERROR(INDEX(Tipos!$D$5:$D$51,MATCH($E136,Tipos!$A$5:$A$51,0)),""))</f>
        <v/>
      </c>
      <c r="Q136" s="49">
        <f>IF(COUNTA($B136:$F136)=0,"",IF($B136="","Falta Área",IF($C136="","Falta Setor",IF($D136="","Falta Equipamento",IF($E136="","Falta Tipo",IF($F136="","Falta Categoria",IF(COUNTIF($D$4:$D$303,$D136)&gt;1,"Nome repetido: diferencie (01, 02…)",IF(AND(ISNUMBER(SEARCH("Temperatura",$P136)),OR($L136="",$M136="")),"Falta faixa de temperatura",IF(AND(ISNUMBER($L136),ISNUMBER($M136),$L136&gt;$M136),"Temp. mínima maior que a máxima","OK")))))))))</f>
        <v/>
      </c>
      <c r="R136" s="49">
        <f>IF($E136="","",IFERROR(INDEX(Tipos!$B$5:$B$51,MATCH($E136,Tipos!$A$5:$A$51,0)),""))</f>
        <v/>
      </c>
    </row>
    <row r="137" ht="15" customHeight="1" s="33">
      <c r="A137" s="50" t="inlineStr">
        <is>
          <t>RioMar Recife</t>
        </is>
      </c>
      <c r="B137" s="50" t="n"/>
      <c r="C137" s="50" t="n"/>
      <c r="D137" s="50" t="n"/>
      <c r="E137" s="50" t="n"/>
      <c r="F137" s="50" t="n"/>
      <c r="G137" s="50" t="n"/>
      <c r="H137" s="50" t="n"/>
      <c r="I137" s="50" t="n"/>
      <c r="J137" s="50" t="n"/>
      <c r="K137" s="51" t="n"/>
      <c r="L137" s="51" t="n"/>
      <c r="M137" s="51" t="n"/>
      <c r="N137" s="50" t="n"/>
      <c r="O137" s="49">
        <f>IF($E137="","",IFERROR(INDEX(Tipos!$C$5:$C$51,MATCH($E137,Tipos!$A$5:$A$51,0)),"Tipo não encontrado"))</f>
        <v/>
      </c>
      <c r="P137" s="49">
        <f>IF($E137="","",IFERROR(INDEX(Tipos!$D$5:$D$51,MATCH($E137,Tipos!$A$5:$A$51,0)),""))</f>
        <v/>
      </c>
      <c r="Q137" s="49">
        <f>IF(COUNTA($B137:$F137)=0,"",IF($B137="","Falta Área",IF($C137="","Falta Setor",IF($D137="","Falta Equipamento",IF($E137="","Falta Tipo",IF($F137="","Falta Categoria",IF(COUNTIF($D$4:$D$303,$D137)&gt;1,"Nome repetido: diferencie (01, 02…)",IF(AND(ISNUMBER(SEARCH("Temperatura",$P137)),OR($L137="",$M137="")),"Falta faixa de temperatura",IF(AND(ISNUMBER($L137),ISNUMBER($M137),$L137&gt;$M137),"Temp. mínima maior que a máxima","OK")))))))))</f>
        <v/>
      </c>
      <c r="R137" s="49">
        <f>IF($E137="","",IFERROR(INDEX(Tipos!$B$5:$B$51,MATCH($E137,Tipos!$A$5:$A$51,0)),""))</f>
        <v/>
      </c>
    </row>
    <row r="138" ht="15" customHeight="1" s="33">
      <c r="A138" s="50" t="inlineStr">
        <is>
          <t>RioMar Recife</t>
        </is>
      </c>
      <c r="B138" s="50" t="n"/>
      <c r="C138" s="50" t="n"/>
      <c r="D138" s="50" t="n"/>
      <c r="E138" s="50" t="n"/>
      <c r="F138" s="50" t="n"/>
      <c r="G138" s="50" t="n"/>
      <c r="H138" s="50" t="n"/>
      <c r="I138" s="50" t="n"/>
      <c r="J138" s="50" t="n"/>
      <c r="K138" s="51" t="n"/>
      <c r="L138" s="51" t="n"/>
      <c r="M138" s="51" t="n"/>
      <c r="N138" s="50" t="n"/>
      <c r="O138" s="49">
        <f>IF($E138="","",IFERROR(INDEX(Tipos!$C$5:$C$51,MATCH($E138,Tipos!$A$5:$A$51,0)),"Tipo não encontrado"))</f>
        <v/>
      </c>
      <c r="P138" s="49">
        <f>IF($E138="","",IFERROR(INDEX(Tipos!$D$5:$D$51,MATCH($E138,Tipos!$A$5:$A$51,0)),""))</f>
        <v/>
      </c>
      <c r="Q138" s="49">
        <f>IF(COUNTA($B138:$F138)=0,"",IF($B138="","Falta Área",IF($C138="","Falta Setor",IF($D138="","Falta Equipamento",IF($E138="","Falta Tipo",IF($F138="","Falta Categoria",IF(COUNTIF($D$4:$D$303,$D138)&gt;1,"Nome repetido: diferencie (01, 02…)",IF(AND(ISNUMBER(SEARCH("Temperatura",$P138)),OR($L138="",$M138="")),"Falta faixa de temperatura",IF(AND(ISNUMBER($L138),ISNUMBER($M138),$L138&gt;$M138),"Temp. mínima maior que a máxima","OK")))))))))</f>
        <v/>
      </c>
      <c r="R138" s="49">
        <f>IF($E138="","",IFERROR(INDEX(Tipos!$B$5:$B$51,MATCH($E138,Tipos!$A$5:$A$51,0)),""))</f>
        <v/>
      </c>
    </row>
    <row r="139" ht="15" customHeight="1" s="33">
      <c r="A139" s="50" t="inlineStr">
        <is>
          <t>RioMar Recife</t>
        </is>
      </c>
      <c r="B139" s="50" t="n"/>
      <c r="C139" s="50" t="n"/>
      <c r="D139" s="50" t="n"/>
      <c r="E139" s="50" t="n"/>
      <c r="F139" s="50" t="n"/>
      <c r="G139" s="50" t="n"/>
      <c r="H139" s="50" t="n"/>
      <c r="I139" s="50" t="n"/>
      <c r="J139" s="50" t="n"/>
      <c r="K139" s="51" t="n"/>
      <c r="L139" s="51" t="n"/>
      <c r="M139" s="51" t="n"/>
      <c r="N139" s="50" t="n"/>
      <c r="O139" s="49">
        <f>IF($E139="","",IFERROR(INDEX(Tipos!$C$5:$C$51,MATCH($E139,Tipos!$A$5:$A$51,0)),"Tipo não encontrado"))</f>
        <v/>
      </c>
      <c r="P139" s="49">
        <f>IF($E139="","",IFERROR(INDEX(Tipos!$D$5:$D$51,MATCH($E139,Tipos!$A$5:$A$51,0)),""))</f>
        <v/>
      </c>
      <c r="Q139" s="49">
        <f>IF(COUNTA($B139:$F139)=0,"",IF($B139="","Falta Área",IF($C139="","Falta Setor",IF($D139="","Falta Equipamento",IF($E139="","Falta Tipo",IF($F139="","Falta Categoria",IF(COUNTIF($D$4:$D$303,$D139)&gt;1,"Nome repetido: diferencie (01, 02…)",IF(AND(ISNUMBER(SEARCH("Temperatura",$P139)),OR($L139="",$M139="")),"Falta faixa de temperatura",IF(AND(ISNUMBER($L139),ISNUMBER($M139),$L139&gt;$M139),"Temp. mínima maior que a máxima","OK")))))))))</f>
        <v/>
      </c>
      <c r="R139" s="49">
        <f>IF($E139="","",IFERROR(INDEX(Tipos!$B$5:$B$51,MATCH($E139,Tipos!$A$5:$A$51,0)),""))</f>
        <v/>
      </c>
    </row>
    <row r="140" ht="15" customHeight="1" s="33">
      <c r="A140" s="50" t="inlineStr">
        <is>
          <t>RioMar Recife</t>
        </is>
      </c>
      <c r="B140" s="50" t="n"/>
      <c r="C140" s="50" t="n"/>
      <c r="D140" s="50" t="n"/>
      <c r="E140" s="50" t="n"/>
      <c r="F140" s="50" t="n"/>
      <c r="G140" s="50" t="n"/>
      <c r="H140" s="50" t="n"/>
      <c r="I140" s="50" t="n"/>
      <c r="J140" s="50" t="n"/>
      <c r="K140" s="51" t="n"/>
      <c r="L140" s="51" t="n"/>
      <c r="M140" s="51" t="n"/>
      <c r="N140" s="50" t="n"/>
      <c r="O140" s="49">
        <f>IF($E140="","",IFERROR(INDEX(Tipos!$C$5:$C$51,MATCH($E140,Tipos!$A$5:$A$51,0)),"Tipo não encontrado"))</f>
        <v/>
      </c>
      <c r="P140" s="49">
        <f>IF($E140="","",IFERROR(INDEX(Tipos!$D$5:$D$51,MATCH($E140,Tipos!$A$5:$A$51,0)),""))</f>
        <v/>
      </c>
      <c r="Q140" s="49">
        <f>IF(COUNTA($B140:$F140)=0,"",IF($B140="","Falta Área",IF($C140="","Falta Setor",IF($D140="","Falta Equipamento",IF($E140="","Falta Tipo",IF($F140="","Falta Categoria",IF(COUNTIF($D$4:$D$303,$D140)&gt;1,"Nome repetido: diferencie (01, 02…)",IF(AND(ISNUMBER(SEARCH("Temperatura",$P140)),OR($L140="",$M140="")),"Falta faixa de temperatura",IF(AND(ISNUMBER($L140),ISNUMBER($M140),$L140&gt;$M140),"Temp. mínima maior que a máxima","OK")))))))))</f>
        <v/>
      </c>
      <c r="R140" s="49">
        <f>IF($E140="","",IFERROR(INDEX(Tipos!$B$5:$B$51,MATCH($E140,Tipos!$A$5:$A$51,0)),""))</f>
        <v/>
      </c>
    </row>
    <row r="141" ht="15" customHeight="1" s="33">
      <c r="A141" s="50" t="inlineStr">
        <is>
          <t>RioMar Recife</t>
        </is>
      </c>
      <c r="B141" s="50" t="n"/>
      <c r="C141" s="50" t="n"/>
      <c r="D141" s="50" t="n"/>
      <c r="E141" s="50" t="n"/>
      <c r="F141" s="50" t="n"/>
      <c r="G141" s="50" t="n"/>
      <c r="H141" s="50" t="n"/>
      <c r="I141" s="50" t="n"/>
      <c r="J141" s="50" t="n"/>
      <c r="K141" s="51" t="n"/>
      <c r="L141" s="51" t="n"/>
      <c r="M141" s="51" t="n"/>
      <c r="N141" s="50" t="n"/>
      <c r="O141" s="49">
        <f>IF($E141="","",IFERROR(INDEX(Tipos!$C$5:$C$51,MATCH($E141,Tipos!$A$5:$A$51,0)),"Tipo não encontrado"))</f>
        <v/>
      </c>
      <c r="P141" s="49">
        <f>IF($E141="","",IFERROR(INDEX(Tipos!$D$5:$D$51,MATCH($E141,Tipos!$A$5:$A$51,0)),""))</f>
        <v/>
      </c>
      <c r="Q141" s="49">
        <f>IF(COUNTA($B141:$F141)=0,"",IF($B141="","Falta Área",IF($C141="","Falta Setor",IF($D141="","Falta Equipamento",IF($E141="","Falta Tipo",IF($F141="","Falta Categoria",IF(COUNTIF($D$4:$D$303,$D141)&gt;1,"Nome repetido: diferencie (01, 02…)",IF(AND(ISNUMBER(SEARCH("Temperatura",$P141)),OR($L141="",$M141="")),"Falta faixa de temperatura",IF(AND(ISNUMBER($L141),ISNUMBER($M141),$L141&gt;$M141),"Temp. mínima maior que a máxima","OK")))))))))</f>
        <v/>
      </c>
      <c r="R141" s="49">
        <f>IF($E141="","",IFERROR(INDEX(Tipos!$B$5:$B$51,MATCH($E141,Tipos!$A$5:$A$51,0)),""))</f>
        <v/>
      </c>
    </row>
    <row r="142" ht="15" customHeight="1" s="33">
      <c r="A142" s="50" t="inlineStr">
        <is>
          <t>RioMar Recife</t>
        </is>
      </c>
      <c r="B142" s="50" t="n"/>
      <c r="C142" s="50" t="n"/>
      <c r="D142" s="50" t="n"/>
      <c r="E142" s="50" t="n"/>
      <c r="F142" s="50" t="n"/>
      <c r="G142" s="50" t="n"/>
      <c r="H142" s="50" t="n"/>
      <c r="I142" s="50" t="n"/>
      <c r="J142" s="50" t="n"/>
      <c r="K142" s="51" t="n"/>
      <c r="L142" s="51" t="n"/>
      <c r="M142" s="51" t="n"/>
      <c r="N142" s="50" t="n"/>
      <c r="O142" s="49">
        <f>IF($E142="","",IFERROR(INDEX(Tipos!$C$5:$C$51,MATCH($E142,Tipos!$A$5:$A$51,0)),"Tipo não encontrado"))</f>
        <v/>
      </c>
      <c r="P142" s="49">
        <f>IF($E142="","",IFERROR(INDEX(Tipos!$D$5:$D$51,MATCH($E142,Tipos!$A$5:$A$51,0)),""))</f>
        <v/>
      </c>
      <c r="Q142" s="49">
        <f>IF(COUNTA($B142:$F142)=0,"",IF($B142="","Falta Área",IF($C142="","Falta Setor",IF($D142="","Falta Equipamento",IF($E142="","Falta Tipo",IF($F142="","Falta Categoria",IF(COUNTIF($D$4:$D$303,$D142)&gt;1,"Nome repetido: diferencie (01, 02…)",IF(AND(ISNUMBER(SEARCH("Temperatura",$P142)),OR($L142="",$M142="")),"Falta faixa de temperatura",IF(AND(ISNUMBER($L142),ISNUMBER($M142),$L142&gt;$M142),"Temp. mínima maior que a máxima","OK")))))))))</f>
        <v/>
      </c>
      <c r="R142" s="49">
        <f>IF($E142="","",IFERROR(INDEX(Tipos!$B$5:$B$51,MATCH($E142,Tipos!$A$5:$A$51,0)),""))</f>
        <v/>
      </c>
    </row>
    <row r="143" ht="15" customHeight="1" s="33">
      <c r="A143" s="50" t="inlineStr">
        <is>
          <t>RioMar Recife</t>
        </is>
      </c>
      <c r="B143" s="50" t="n"/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1" t="n"/>
      <c r="L143" s="51" t="n"/>
      <c r="M143" s="51" t="n"/>
      <c r="N143" s="50" t="n"/>
      <c r="O143" s="49">
        <f>IF($E143="","",IFERROR(INDEX(Tipos!$C$5:$C$51,MATCH($E143,Tipos!$A$5:$A$51,0)),"Tipo não encontrado"))</f>
        <v/>
      </c>
      <c r="P143" s="49">
        <f>IF($E143="","",IFERROR(INDEX(Tipos!$D$5:$D$51,MATCH($E143,Tipos!$A$5:$A$51,0)),""))</f>
        <v/>
      </c>
      <c r="Q143" s="49">
        <f>IF(COUNTA($B143:$F143)=0,"",IF($B143="","Falta Área",IF($C143="","Falta Setor",IF($D143="","Falta Equipamento",IF($E143="","Falta Tipo",IF($F143="","Falta Categoria",IF(COUNTIF($D$4:$D$303,$D143)&gt;1,"Nome repetido: diferencie (01, 02…)",IF(AND(ISNUMBER(SEARCH("Temperatura",$P143)),OR($L143="",$M143="")),"Falta faixa de temperatura",IF(AND(ISNUMBER($L143),ISNUMBER($M143),$L143&gt;$M143),"Temp. mínima maior que a máxima","OK")))))))))</f>
        <v/>
      </c>
      <c r="R143" s="49">
        <f>IF($E143="","",IFERROR(INDEX(Tipos!$B$5:$B$51,MATCH($E143,Tipos!$A$5:$A$51,0)),""))</f>
        <v/>
      </c>
    </row>
    <row r="144" ht="15" customHeight="1" s="33">
      <c r="A144" s="50" t="inlineStr">
        <is>
          <t>RioMar Recife</t>
        </is>
      </c>
      <c r="B144" s="50" t="n"/>
      <c r="C144" s="50" t="n"/>
      <c r="D144" s="50" t="n"/>
      <c r="E144" s="50" t="n"/>
      <c r="F144" s="50" t="n"/>
      <c r="G144" s="50" t="n"/>
      <c r="H144" s="50" t="n"/>
      <c r="I144" s="50" t="n"/>
      <c r="J144" s="50" t="n"/>
      <c r="K144" s="51" t="n"/>
      <c r="L144" s="51" t="n"/>
      <c r="M144" s="51" t="n"/>
      <c r="N144" s="50" t="n"/>
      <c r="O144" s="49">
        <f>IF($E144="","",IFERROR(INDEX(Tipos!$C$5:$C$51,MATCH($E144,Tipos!$A$5:$A$51,0)),"Tipo não encontrado"))</f>
        <v/>
      </c>
      <c r="P144" s="49">
        <f>IF($E144="","",IFERROR(INDEX(Tipos!$D$5:$D$51,MATCH($E144,Tipos!$A$5:$A$51,0)),""))</f>
        <v/>
      </c>
      <c r="Q144" s="49">
        <f>IF(COUNTA($B144:$F144)=0,"",IF($B144="","Falta Área",IF($C144="","Falta Setor",IF($D144="","Falta Equipamento",IF($E144="","Falta Tipo",IF($F144="","Falta Categoria",IF(COUNTIF($D$4:$D$303,$D144)&gt;1,"Nome repetido: diferencie (01, 02…)",IF(AND(ISNUMBER(SEARCH("Temperatura",$P144)),OR($L144="",$M144="")),"Falta faixa de temperatura",IF(AND(ISNUMBER($L144),ISNUMBER($M144),$L144&gt;$M144),"Temp. mínima maior que a máxima","OK")))))))))</f>
        <v/>
      </c>
      <c r="R144" s="49">
        <f>IF($E144="","",IFERROR(INDEX(Tipos!$B$5:$B$51,MATCH($E144,Tipos!$A$5:$A$51,0)),""))</f>
        <v/>
      </c>
    </row>
    <row r="145" ht="15" customHeight="1" s="33">
      <c r="A145" s="50" t="inlineStr">
        <is>
          <t>RioMar Recife</t>
        </is>
      </c>
      <c r="B145" s="50" t="n"/>
      <c r="C145" s="50" t="n"/>
      <c r="D145" s="50" t="n"/>
      <c r="E145" s="50" t="n"/>
      <c r="F145" s="50" t="n"/>
      <c r="G145" s="50" t="n"/>
      <c r="H145" s="50" t="n"/>
      <c r="I145" s="50" t="n"/>
      <c r="J145" s="50" t="n"/>
      <c r="K145" s="51" t="n"/>
      <c r="L145" s="51" t="n"/>
      <c r="M145" s="51" t="n"/>
      <c r="N145" s="50" t="n"/>
      <c r="O145" s="49">
        <f>IF($E145="","",IFERROR(INDEX(Tipos!$C$5:$C$51,MATCH($E145,Tipos!$A$5:$A$51,0)),"Tipo não encontrado"))</f>
        <v/>
      </c>
      <c r="P145" s="49">
        <f>IF($E145="","",IFERROR(INDEX(Tipos!$D$5:$D$51,MATCH($E145,Tipos!$A$5:$A$51,0)),""))</f>
        <v/>
      </c>
      <c r="Q145" s="49">
        <f>IF(COUNTA($B145:$F145)=0,"",IF($B145="","Falta Área",IF($C145="","Falta Setor",IF($D145="","Falta Equipamento",IF($E145="","Falta Tipo",IF($F145="","Falta Categoria",IF(COUNTIF($D$4:$D$303,$D145)&gt;1,"Nome repetido: diferencie (01, 02…)",IF(AND(ISNUMBER(SEARCH("Temperatura",$P145)),OR($L145="",$M145="")),"Falta faixa de temperatura",IF(AND(ISNUMBER($L145),ISNUMBER($M145),$L145&gt;$M145),"Temp. mínima maior que a máxima","OK")))))))))</f>
        <v/>
      </c>
      <c r="R145" s="49">
        <f>IF($E145="","",IFERROR(INDEX(Tipos!$B$5:$B$51,MATCH($E145,Tipos!$A$5:$A$51,0)),""))</f>
        <v/>
      </c>
    </row>
    <row r="146" ht="15" customHeight="1" s="33">
      <c r="A146" s="50" t="inlineStr">
        <is>
          <t>RioMar Recife</t>
        </is>
      </c>
      <c r="B146" s="50" t="n"/>
      <c r="C146" s="50" t="n"/>
      <c r="D146" s="50" t="n"/>
      <c r="E146" s="50" t="n"/>
      <c r="F146" s="50" t="n"/>
      <c r="G146" s="50" t="n"/>
      <c r="H146" s="50" t="n"/>
      <c r="I146" s="50" t="n"/>
      <c r="J146" s="50" t="n"/>
      <c r="K146" s="51" t="n"/>
      <c r="L146" s="51" t="n"/>
      <c r="M146" s="51" t="n"/>
      <c r="N146" s="50" t="n"/>
      <c r="O146" s="49">
        <f>IF($E146="","",IFERROR(INDEX(Tipos!$C$5:$C$51,MATCH($E146,Tipos!$A$5:$A$51,0)),"Tipo não encontrado"))</f>
        <v/>
      </c>
      <c r="P146" s="49">
        <f>IF($E146="","",IFERROR(INDEX(Tipos!$D$5:$D$51,MATCH($E146,Tipos!$A$5:$A$51,0)),""))</f>
        <v/>
      </c>
      <c r="Q146" s="49">
        <f>IF(COUNTA($B146:$F146)=0,"",IF($B146="","Falta Área",IF($C146="","Falta Setor",IF($D146="","Falta Equipamento",IF($E146="","Falta Tipo",IF($F146="","Falta Categoria",IF(COUNTIF($D$4:$D$303,$D146)&gt;1,"Nome repetido: diferencie (01, 02…)",IF(AND(ISNUMBER(SEARCH("Temperatura",$P146)),OR($L146="",$M146="")),"Falta faixa de temperatura",IF(AND(ISNUMBER($L146),ISNUMBER($M146),$L146&gt;$M146),"Temp. mínima maior que a máxima","OK")))))))))</f>
        <v/>
      </c>
      <c r="R146" s="49">
        <f>IF($E146="","",IFERROR(INDEX(Tipos!$B$5:$B$51,MATCH($E146,Tipos!$A$5:$A$51,0)),""))</f>
        <v/>
      </c>
    </row>
    <row r="147" ht="15" customHeight="1" s="33">
      <c r="A147" s="50" t="inlineStr">
        <is>
          <t>RioMar Recife</t>
        </is>
      </c>
      <c r="B147" s="50" t="n"/>
      <c r="C147" s="50" t="n"/>
      <c r="D147" s="50" t="n"/>
      <c r="E147" s="50" t="n"/>
      <c r="F147" s="50" t="n"/>
      <c r="G147" s="50" t="n"/>
      <c r="H147" s="50" t="n"/>
      <c r="I147" s="50" t="n"/>
      <c r="J147" s="50" t="n"/>
      <c r="K147" s="51" t="n"/>
      <c r="L147" s="51" t="n"/>
      <c r="M147" s="51" t="n"/>
      <c r="N147" s="50" t="n"/>
      <c r="O147" s="49">
        <f>IF($E147="","",IFERROR(INDEX(Tipos!$C$5:$C$51,MATCH($E147,Tipos!$A$5:$A$51,0)),"Tipo não encontrado"))</f>
        <v/>
      </c>
      <c r="P147" s="49">
        <f>IF($E147="","",IFERROR(INDEX(Tipos!$D$5:$D$51,MATCH($E147,Tipos!$A$5:$A$51,0)),""))</f>
        <v/>
      </c>
      <c r="Q147" s="49">
        <f>IF(COUNTA($B147:$F147)=0,"",IF($B147="","Falta Área",IF($C147="","Falta Setor",IF($D147="","Falta Equipamento",IF($E147="","Falta Tipo",IF($F147="","Falta Categoria",IF(COUNTIF($D$4:$D$303,$D147)&gt;1,"Nome repetido: diferencie (01, 02…)",IF(AND(ISNUMBER(SEARCH("Temperatura",$P147)),OR($L147="",$M147="")),"Falta faixa de temperatura",IF(AND(ISNUMBER($L147),ISNUMBER($M147),$L147&gt;$M147),"Temp. mínima maior que a máxima","OK")))))))))</f>
        <v/>
      </c>
      <c r="R147" s="49">
        <f>IF($E147="","",IFERROR(INDEX(Tipos!$B$5:$B$51,MATCH($E147,Tipos!$A$5:$A$51,0)),""))</f>
        <v/>
      </c>
    </row>
    <row r="148" ht="15" customHeight="1" s="33">
      <c r="A148" s="50" t="inlineStr">
        <is>
          <t>RioMar Recife</t>
        </is>
      </c>
      <c r="B148" s="50" t="n"/>
      <c r="C148" s="50" t="n"/>
      <c r="D148" s="50" t="n"/>
      <c r="E148" s="50" t="n"/>
      <c r="F148" s="50" t="n"/>
      <c r="G148" s="50" t="n"/>
      <c r="H148" s="50" t="n"/>
      <c r="I148" s="50" t="n"/>
      <c r="J148" s="50" t="n"/>
      <c r="K148" s="51" t="n"/>
      <c r="L148" s="51" t="n"/>
      <c r="M148" s="51" t="n"/>
      <c r="N148" s="50" t="n"/>
      <c r="O148" s="49">
        <f>IF($E148="","",IFERROR(INDEX(Tipos!$C$5:$C$51,MATCH($E148,Tipos!$A$5:$A$51,0)),"Tipo não encontrado"))</f>
        <v/>
      </c>
      <c r="P148" s="49">
        <f>IF($E148="","",IFERROR(INDEX(Tipos!$D$5:$D$51,MATCH($E148,Tipos!$A$5:$A$51,0)),""))</f>
        <v/>
      </c>
      <c r="Q148" s="49">
        <f>IF(COUNTA($B148:$F148)=0,"",IF($B148="","Falta Área",IF($C148="","Falta Setor",IF($D148="","Falta Equipamento",IF($E148="","Falta Tipo",IF($F148="","Falta Categoria",IF(COUNTIF($D$4:$D$303,$D148)&gt;1,"Nome repetido: diferencie (01, 02…)",IF(AND(ISNUMBER(SEARCH("Temperatura",$P148)),OR($L148="",$M148="")),"Falta faixa de temperatura",IF(AND(ISNUMBER($L148),ISNUMBER($M148),$L148&gt;$M148),"Temp. mínima maior que a máxima","OK")))))))))</f>
        <v/>
      </c>
      <c r="R148" s="49">
        <f>IF($E148="","",IFERROR(INDEX(Tipos!$B$5:$B$51,MATCH($E148,Tipos!$A$5:$A$51,0)),""))</f>
        <v/>
      </c>
    </row>
    <row r="149" ht="15" customHeight="1" s="33">
      <c r="A149" s="50" t="inlineStr">
        <is>
          <t>RioMar Recife</t>
        </is>
      </c>
      <c r="B149" s="50" t="n"/>
      <c r="C149" s="50" t="n"/>
      <c r="D149" s="50" t="n"/>
      <c r="E149" s="50" t="n"/>
      <c r="F149" s="50" t="n"/>
      <c r="G149" s="50" t="n"/>
      <c r="H149" s="50" t="n"/>
      <c r="I149" s="50" t="n"/>
      <c r="J149" s="50" t="n"/>
      <c r="K149" s="51" t="n"/>
      <c r="L149" s="51" t="n"/>
      <c r="M149" s="51" t="n"/>
      <c r="N149" s="50" t="n"/>
      <c r="O149" s="49">
        <f>IF($E149="","",IFERROR(INDEX(Tipos!$C$5:$C$51,MATCH($E149,Tipos!$A$5:$A$51,0)),"Tipo não encontrado"))</f>
        <v/>
      </c>
      <c r="P149" s="49">
        <f>IF($E149="","",IFERROR(INDEX(Tipos!$D$5:$D$51,MATCH($E149,Tipos!$A$5:$A$51,0)),""))</f>
        <v/>
      </c>
      <c r="Q149" s="49">
        <f>IF(COUNTA($B149:$F149)=0,"",IF($B149="","Falta Área",IF($C149="","Falta Setor",IF($D149="","Falta Equipamento",IF($E149="","Falta Tipo",IF($F149="","Falta Categoria",IF(COUNTIF($D$4:$D$303,$D149)&gt;1,"Nome repetido: diferencie (01, 02…)",IF(AND(ISNUMBER(SEARCH("Temperatura",$P149)),OR($L149="",$M149="")),"Falta faixa de temperatura",IF(AND(ISNUMBER($L149),ISNUMBER($M149),$L149&gt;$M149),"Temp. mínima maior que a máxima","OK")))))))))</f>
        <v/>
      </c>
      <c r="R149" s="49">
        <f>IF($E149="","",IFERROR(INDEX(Tipos!$B$5:$B$51,MATCH($E149,Tipos!$A$5:$A$51,0)),""))</f>
        <v/>
      </c>
    </row>
    <row r="150" ht="15" customHeight="1" s="33">
      <c r="A150" s="50" t="inlineStr">
        <is>
          <t>RioMar Recife</t>
        </is>
      </c>
      <c r="B150" s="50" t="n"/>
      <c r="C150" s="50" t="n"/>
      <c r="D150" s="50" t="n"/>
      <c r="E150" s="50" t="n"/>
      <c r="F150" s="50" t="n"/>
      <c r="G150" s="50" t="n"/>
      <c r="H150" s="50" t="n"/>
      <c r="I150" s="50" t="n"/>
      <c r="J150" s="50" t="n"/>
      <c r="K150" s="51" t="n"/>
      <c r="L150" s="51" t="n"/>
      <c r="M150" s="51" t="n"/>
      <c r="N150" s="50" t="n"/>
      <c r="O150" s="49">
        <f>IF($E150="","",IFERROR(INDEX(Tipos!$C$5:$C$51,MATCH($E150,Tipos!$A$5:$A$51,0)),"Tipo não encontrado"))</f>
        <v/>
      </c>
      <c r="P150" s="49">
        <f>IF($E150="","",IFERROR(INDEX(Tipos!$D$5:$D$51,MATCH($E150,Tipos!$A$5:$A$51,0)),""))</f>
        <v/>
      </c>
      <c r="Q150" s="49">
        <f>IF(COUNTA($B150:$F150)=0,"",IF($B150="","Falta Área",IF($C150="","Falta Setor",IF($D150="","Falta Equipamento",IF($E150="","Falta Tipo",IF($F150="","Falta Categoria",IF(COUNTIF($D$4:$D$303,$D150)&gt;1,"Nome repetido: diferencie (01, 02…)",IF(AND(ISNUMBER(SEARCH("Temperatura",$P150)),OR($L150="",$M150="")),"Falta faixa de temperatura",IF(AND(ISNUMBER($L150),ISNUMBER($M150),$L150&gt;$M150),"Temp. mínima maior que a máxima","OK")))))))))</f>
        <v/>
      </c>
      <c r="R150" s="49">
        <f>IF($E150="","",IFERROR(INDEX(Tipos!$B$5:$B$51,MATCH($E150,Tipos!$A$5:$A$51,0)),""))</f>
        <v/>
      </c>
    </row>
    <row r="151" ht="15" customHeight="1" s="33">
      <c r="A151" s="50" t="inlineStr">
        <is>
          <t>RioMar Recife</t>
        </is>
      </c>
      <c r="B151" s="50" t="n"/>
      <c r="C151" s="50" t="n"/>
      <c r="D151" s="50" t="n"/>
      <c r="E151" s="50" t="n"/>
      <c r="F151" s="50" t="n"/>
      <c r="G151" s="50" t="n"/>
      <c r="H151" s="50" t="n"/>
      <c r="I151" s="50" t="n"/>
      <c r="J151" s="50" t="n"/>
      <c r="K151" s="51" t="n"/>
      <c r="L151" s="51" t="n"/>
      <c r="M151" s="51" t="n"/>
      <c r="N151" s="50" t="n"/>
      <c r="O151" s="49">
        <f>IF($E151="","",IFERROR(INDEX(Tipos!$C$5:$C$51,MATCH($E151,Tipos!$A$5:$A$51,0)),"Tipo não encontrado"))</f>
        <v/>
      </c>
      <c r="P151" s="49">
        <f>IF($E151="","",IFERROR(INDEX(Tipos!$D$5:$D$51,MATCH($E151,Tipos!$A$5:$A$51,0)),""))</f>
        <v/>
      </c>
      <c r="Q151" s="49">
        <f>IF(COUNTA($B151:$F151)=0,"",IF($B151="","Falta Área",IF($C151="","Falta Setor",IF($D151="","Falta Equipamento",IF($E151="","Falta Tipo",IF($F151="","Falta Categoria",IF(COUNTIF($D$4:$D$303,$D151)&gt;1,"Nome repetido: diferencie (01, 02…)",IF(AND(ISNUMBER(SEARCH("Temperatura",$P151)),OR($L151="",$M151="")),"Falta faixa de temperatura",IF(AND(ISNUMBER($L151),ISNUMBER($M151),$L151&gt;$M151),"Temp. mínima maior que a máxima","OK")))))))))</f>
        <v/>
      </c>
      <c r="R151" s="49">
        <f>IF($E151="","",IFERROR(INDEX(Tipos!$B$5:$B$51,MATCH($E151,Tipos!$A$5:$A$51,0)),""))</f>
        <v/>
      </c>
    </row>
    <row r="152" ht="15" customHeight="1" s="33">
      <c r="A152" s="50" t="inlineStr">
        <is>
          <t>RioMar Recife</t>
        </is>
      </c>
      <c r="B152" s="50" t="n"/>
      <c r="C152" s="50" t="n"/>
      <c r="D152" s="50" t="n"/>
      <c r="E152" s="50" t="n"/>
      <c r="F152" s="50" t="n"/>
      <c r="G152" s="50" t="n"/>
      <c r="H152" s="50" t="n"/>
      <c r="I152" s="50" t="n"/>
      <c r="J152" s="50" t="n"/>
      <c r="K152" s="51" t="n"/>
      <c r="L152" s="51" t="n"/>
      <c r="M152" s="51" t="n"/>
      <c r="N152" s="50" t="n"/>
      <c r="O152" s="49">
        <f>IF($E152="","",IFERROR(INDEX(Tipos!$C$5:$C$51,MATCH($E152,Tipos!$A$5:$A$51,0)),"Tipo não encontrado"))</f>
        <v/>
      </c>
      <c r="P152" s="49">
        <f>IF($E152="","",IFERROR(INDEX(Tipos!$D$5:$D$51,MATCH($E152,Tipos!$A$5:$A$51,0)),""))</f>
        <v/>
      </c>
      <c r="Q152" s="49">
        <f>IF(COUNTA($B152:$F152)=0,"",IF($B152="","Falta Área",IF($C152="","Falta Setor",IF($D152="","Falta Equipamento",IF($E152="","Falta Tipo",IF($F152="","Falta Categoria",IF(COUNTIF($D$4:$D$303,$D152)&gt;1,"Nome repetido: diferencie (01, 02…)",IF(AND(ISNUMBER(SEARCH("Temperatura",$P152)),OR($L152="",$M152="")),"Falta faixa de temperatura",IF(AND(ISNUMBER($L152),ISNUMBER($M152),$L152&gt;$M152),"Temp. mínima maior que a máxima","OK")))))))))</f>
        <v/>
      </c>
      <c r="R152" s="49">
        <f>IF($E152="","",IFERROR(INDEX(Tipos!$B$5:$B$51,MATCH($E152,Tipos!$A$5:$A$51,0)),""))</f>
        <v/>
      </c>
    </row>
    <row r="153" ht="15" customHeight="1" s="33">
      <c r="A153" s="50" t="inlineStr">
        <is>
          <t>RioMar Recife</t>
        </is>
      </c>
      <c r="B153" s="50" t="n"/>
      <c r="C153" s="50" t="n"/>
      <c r="D153" s="50" t="n"/>
      <c r="E153" s="50" t="n"/>
      <c r="F153" s="50" t="n"/>
      <c r="G153" s="50" t="n"/>
      <c r="H153" s="50" t="n"/>
      <c r="I153" s="50" t="n"/>
      <c r="J153" s="50" t="n"/>
      <c r="K153" s="51" t="n"/>
      <c r="L153" s="51" t="n"/>
      <c r="M153" s="51" t="n"/>
      <c r="N153" s="50" t="n"/>
      <c r="O153" s="49">
        <f>IF($E153="","",IFERROR(INDEX(Tipos!$C$5:$C$51,MATCH($E153,Tipos!$A$5:$A$51,0)),"Tipo não encontrado"))</f>
        <v/>
      </c>
      <c r="P153" s="49">
        <f>IF($E153="","",IFERROR(INDEX(Tipos!$D$5:$D$51,MATCH($E153,Tipos!$A$5:$A$51,0)),""))</f>
        <v/>
      </c>
      <c r="Q153" s="49">
        <f>IF(COUNTA($B153:$F153)=0,"",IF($B153="","Falta Área",IF($C153="","Falta Setor",IF($D153="","Falta Equipamento",IF($E153="","Falta Tipo",IF($F153="","Falta Categoria",IF(COUNTIF($D$4:$D$303,$D153)&gt;1,"Nome repetido: diferencie (01, 02…)",IF(AND(ISNUMBER(SEARCH("Temperatura",$P153)),OR($L153="",$M153="")),"Falta faixa de temperatura",IF(AND(ISNUMBER($L153),ISNUMBER($M153),$L153&gt;$M153),"Temp. mínima maior que a máxima","OK")))))))))</f>
        <v/>
      </c>
      <c r="R153" s="49">
        <f>IF($E153="","",IFERROR(INDEX(Tipos!$B$5:$B$51,MATCH($E153,Tipos!$A$5:$A$51,0)),""))</f>
        <v/>
      </c>
    </row>
    <row r="154" ht="15" customHeight="1" s="33">
      <c r="A154" s="50" t="inlineStr">
        <is>
          <t>RioMar Recife</t>
        </is>
      </c>
      <c r="B154" s="50" t="n"/>
      <c r="C154" s="50" t="n"/>
      <c r="D154" s="50" t="n"/>
      <c r="E154" s="50" t="n"/>
      <c r="F154" s="50" t="n"/>
      <c r="G154" s="50" t="n"/>
      <c r="H154" s="50" t="n"/>
      <c r="I154" s="50" t="n"/>
      <c r="J154" s="50" t="n"/>
      <c r="K154" s="51" t="n"/>
      <c r="L154" s="51" t="n"/>
      <c r="M154" s="51" t="n"/>
      <c r="N154" s="50" t="n"/>
      <c r="O154" s="49">
        <f>IF($E154="","",IFERROR(INDEX(Tipos!$C$5:$C$51,MATCH($E154,Tipos!$A$5:$A$51,0)),"Tipo não encontrado"))</f>
        <v/>
      </c>
      <c r="P154" s="49">
        <f>IF($E154="","",IFERROR(INDEX(Tipos!$D$5:$D$51,MATCH($E154,Tipos!$A$5:$A$51,0)),""))</f>
        <v/>
      </c>
      <c r="Q154" s="49">
        <f>IF(COUNTA($B154:$F154)=0,"",IF($B154="","Falta Área",IF($C154="","Falta Setor",IF($D154="","Falta Equipamento",IF($E154="","Falta Tipo",IF($F154="","Falta Categoria",IF(COUNTIF($D$4:$D$303,$D154)&gt;1,"Nome repetido: diferencie (01, 02…)",IF(AND(ISNUMBER(SEARCH("Temperatura",$P154)),OR($L154="",$M154="")),"Falta faixa de temperatura",IF(AND(ISNUMBER($L154),ISNUMBER($M154),$L154&gt;$M154),"Temp. mínima maior que a máxima","OK")))))))))</f>
        <v/>
      </c>
      <c r="R154" s="49">
        <f>IF($E154="","",IFERROR(INDEX(Tipos!$B$5:$B$51,MATCH($E154,Tipos!$A$5:$A$51,0)),""))</f>
        <v/>
      </c>
    </row>
    <row r="155" ht="15" customHeight="1" s="33">
      <c r="A155" s="50" t="inlineStr">
        <is>
          <t>RioMar Recife</t>
        </is>
      </c>
      <c r="B155" s="50" t="n"/>
      <c r="C155" s="50" t="n"/>
      <c r="D155" s="50" t="n"/>
      <c r="E155" s="50" t="n"/>
      <c r="F155" s="50" t="n"/>
      <c r="G155" s="50" t="n"/>
      <c r="H155" s="50" t="n"/>
      <c r="I155" s="50" t="n"/>
      <c r="J155" s="50" t="n"/>
      <c r="K155" s="51" t="n"/>
      <c r="L155" s="51" t="n"/>
      <c r="M155" s="51" t="n"/>
      <c r="N155" s="50" t="n"/>
      <c r="O155" s="49">
        <f>IF($E155="","",IFERROR(INDEX(Tipos!$C$5:$C$51,MATCH($E155,Tipos!$A$5:$A$51,0)),"Tipo não encontrado"))</f>
        <v/>
      </c>
      <c r="P155" s="49">
        <f>IF($E155="","",IFERROR(INDEX(Tipos!$D$5:$D$51,MATCH($E155,Tipos!$A$5:$A$51,0)),""))</f>
        <v/>
      </c>
      <c r="Q155" s="49">
        <f>IF(COUNTA($B155:$F155)=0,"",IF($B155="","Falta Área",IF($C155="","Falta Setor",IF($D155="","Falta Equipamento",IF($E155="","Falta Tipo",IF($F155="","Falta Categoria",IF(COUNTIF($D$4:$D$303,$D155)&gt;1,"Nome repetido: diferencie (01, 02…)",IF(AND(ISNUMBER(SEARCH("Temperatura",$P155)),OR($L155="",$M155="")),"Falta faixa de temperatura",IF(AND(ISNUMBER($L155),ISNUMBER($M155),$L155&gt;$M155),"Temp. mínima maior que a máxima","OK")))))))))</f>
        <v/>
      </c>
      <c r="R155" s="49">
        <f>IF($E155="","",IFERROR(INDEX(Tipos!$B$5:$B$51,MATCH($E155,Tipos!$A$5:$A$51,0)),""))</f>
        <v/>
      </c>
    </row>
    <row r="156" ht="15" customHeight="1" s="33">
      <c r="A156" s="50" t="inlineStr">
        <is>
          <t>RioMar Recife</t>
        </is>
      </c>
      <c r="B156" s="50" t="n"/>
      <c r="C156" s="50" t="n"/>
      <c r="D156" s="50" t="n"/>
      <c r="E156" s="50" t="n"/>
      <c r="F156" s="50" t="n"/>
      <c r="G156" s="50" t="n"/>
      <c r="H156" s="50" t="n"/>
      <c r="I156" s="50" t="n"/>
      <c r="J156" s="50" t="n"/>
      <c r="K156" s="51" t="n"/>
      <c r="L156" s="51" t="n"/>
      <c r="M156" s="51" t="n"/>
      <c r="N156" s="50" t="n"/>
      <c r="O156" s="49">
        <f>IF($E156="","",IFERROR(INDEX(Tipos!$C$5:$C$51,MATCH($E156,Tipos!$A$5:$A$51,0)),"Tipo não encontrado"))</f>
        <v/>
      </c>
      <c r="P156" s="49">
        <f>IF($E156="","",IFERROR(INDEX(Tipos!$D$5:$D$51,MATCH($E156,Tipos!$A$5:$A$51,0)),""))</f>
        <v/>
      </c>
      <c r="Q156" s="49">
        <f>IF(COUNTA($B156:$F156)=0,"",IF($B156="","Falta Área",IF($C156="","Falta Setor",IF($D156="","Falta Equipamento",IF($E156="","Falta Tipo",IF($F156="","Falta Categoria",IF(COUNTIF($D$4:$D$303,$D156)&gt;1,"Nome repetido: diferencie (01, 02…)",IF(AND(ISNUMBER(SEARCH("Temperatura",$P156)),OR($L156="",$M156="")),"Falta faixa de temperatura",IF(AND(ISNUMBER($L156),ISNUMBER($M156),$L156&gt;$M156),"Temp. mínima maior que a máxima","OK")))))))))</f>
        <v/>
      </c>
      <c r="R156" s="49">
        <f>IF($E156="","",IFERROR(INDEX(Tipos!$B$5:$B$51,MATCH($E156,Tipos!$A$5:$A$51,0)),""))</f>
        <v/>
      </c>
    </row>
    <row r="157" ht="15" customHeight="1" s="33">
      <c r="A157" s="50" t="inlineStr">
        <is>
          <t>RioMar Recife</t>
        </is>
      </c>
      <c r="B157" s="50" t="n"/>
      <c r="C157" s="50" t="n"/>
      <c r="D157" s="50" t="n"/>
      <c r="E157" s="50" t="n"/>
      <c r="F157" s="50" t="n"/>
      <c r="G157" s="50" t="n"/>
      <c r="H157" s="50" t="n"/>
      <c r="I157" s="50" t="n"/>
      <c r="J157" s="50" t="n"/>
      <c r="K157" s="51" t="n"/>
      <c r="L157" s="51" t="n"/>
      <c r="M157" s="51" t="n"/>
      <c r="N157" s="50" t="n"/>
      <c r="O157" s="49">
        <f>IF($E157="","",IFERROR(INDEX(Tipos!$C$5:$C$51,MATCH($E157,Tipos!$A$5:$A$51,0)),"Tipo não encontrado"))</f>
        <v/>
      </c>
      <c r="P157" s="49">
        <f>IF($E157="","",IFERROR(INDEX(Tipos!$D$5:$D$51,MATCH($E157,Tipos!$A$5:$A$51,0)),""))</f>
        <v/>
      </c>
      <c r="Q157" s="49">
        <f>IF(COUNTA($B157:$F157)=0,"",IF($B157="","Falta Área",IF($C157="","Falta Setor",IF($D157="","Falta Equipamento",IF($E157="","Falta Tipo",IF($F157="","Falta Categoria",IF(COUNTIF($D$4:$D$303,$D157)&gt;1,"Nome repetido: diferencie (01, 02…)",IF(AND(ISNUMBER(SEARCH("Temperatura",$P157)),OR($L157="",$M157="")),"Falta faixa de temperatura",IF(AND(ISNUMBER($L157),ISNUMBER($M157),$L157&gt;$M157),"Temp. mínima maior que a máxima","OK")))))))))</f>
        <v/>
      </c>
      <c r="R157" s="49">
        <f>IF($E157="","",IFERROR(INDEX(Tipos!$B$5:$B$51,MATCH($E157,Tipos!$A$5:$A$51,0)),""))</f>
        <v/>
      </c>
    </row>
    <row r="158" ht="15" customHeight="1" s="33">
      <c r="A158" s="50" t="inlineStr">
        <is>
          <t>RioMar Recife</t>
        </is>
      </c>
      <c r="B158" s="50" t="n"/>
      <c r="C158" s="50" t="n"/>
      <c r="D158" s="50" t="n"/>
      <c r="E158" s="50" t="n"/>
      <c r="F158" s="50" t="n"/>
      <c r="G158" s="50" t="n"/>
      <c r="H158" s="50" t="n"/>
      <c r="I158" s="50" t="n"/>
      <c r="J158" s="50" t="n"/>
      <c r="K158" s="51" t="n"/>
      <c r="L158" s="51" t="n"/>
      <c r="M158" s="51" t="n"/>
      <c r="N158" s="50" t="n"/>
      <c r="O158" s="49">
        <f>IF($E158="","",IFERROR(INDEX(Tipos!$C$5:$C$51,MATCH($E158,Tipos!$A$5:$A$51,0)),"Tipo não encontrado"))</f>
        <v/>
      </c>
      <c r="P158" s="49">
        <f>IF($E158="","",IFERROR(INDEX(Tipos!$D$5:$D$51,MATCH($E158,Tipos!$A$5:$A$51,0)),""))</f>
        <v/>
      </c>
      <c r="Q158" s="49">
        <f>IF(COUNTA($B158:$F158)=0,"",IF($B158="","Falta Área",IF($C158="","Falta Setor",IF($D158="","Falta Equipamento",IF($E158="","Falta Tipo",IF($F158="","Falta Categoria",IF(COUNTIF($D$4:$D$303,$D158)&gt;1,"Nome repetido: diferencie (01, 02…)",IF(AND(ISNUMBER(SEARCH("Temperatura",$P158)),OR($L158="",$M158="")),"Falta faixa de temperatura",IF(AND(ISNUMBER($L158),ISNUMBER($M158),$L158&gt;$M158),"Temp. mínima maior que a máxima","OK")))))))))</f>
        <v/>
      </c>
      <c r="R158" s="49">
        <f>IF($E158="","",IFERROR(INDEX(Tipos!$B$5:$B$51,MATCH($E158,Tipos!$A$5:$A$51,0)),""))</f>
        <v/>
      </c>
    </row>
    <row r="159" ht="15" customHeight="1" s="33">
      <c r="A159" s="50" t="inlineStr">
        <is>
          <t>RioMar Recife</t>
        </is>
      </c>
      <c r="B159" s="50" t="n"/>
      <c r="C159" s="50" t="n"/>
      <c r="D159" s="50" t="n"/>
      <c r="E159" s="50" t="n"/>
      <c r="F159" s="50" t="n"/>
      <c r="G159" s="50" t="n"/>
      <c r="H159" s="50" t="n"/>
      <c r="I159" s="50" t="n"/>
      <c r="J159" s="50" t="n"/>
      <c r="K159" s="51" t="n"/>
      <c r="L159" s="51" t="n"/>
      <c r="M159" s="51" t="n"/>
      <c r="N159" s="50" t="n"/>
      <c r="O159" s="49">
        <f>IF($E159="","",IFERROR(INDEX(Tipos!$C$5:$C$51,MATCH($E159,Tipos!$A$5:$A$51,0)),"Tipo não encontrado"))</f>
        <v/>
      </c>
      <c r="P159" s="49">
        <f>IF($E159="","",IFERROR(INDEX(Tipos!$D$5:$D$51,MATCH($E159,Tipos!$A$5:$A$51,0)),""))</f>
        <v/>
      </c>
      <c r="Q159" s="49">
        <f>IF(COUNTA($B159:$F159)=0,"",IF($B159="","Falta Área",IF($C159="","Falta Setor",IF($D159="","Falta Equipamento",IF($E159="","Falta Tipo",IF($F159="","Falta Categoria",IF(COUNTIF($D$4:$D$303,$D159)&gt;1,"Nome repetido: diferencie (01, 02…)",IF(AND(ISNUMBER(SEARCH("Temperatura",$P159)),OR($L159="",$M159="")),"Falta faixa de temperatura",IF(AND(ISNUMBER($L159),ISNUMBER($M159),$L159&gt;$M159),"Temp. mínima maior que a máxima","OK")))))))))</f>
        <v/>
      </c>
      <c r="R159" s="49">
        <f>IF($E159="","",IFERROR(INDEX(Tipos!$B$5:$B$51,MATCH($E159,Tipos!$A$5:$A$51,0)),""))</f>
        <v/>
      </c>
    </row>
    <row r="160" ht="15" customHeight="1" s="33">
      <c r="A160" s="50" t="inlineStr">
        <is>
          <t>RioMar Recife</t>
        </is>
      </c>
      <c r="B160" s="50" t="n"/>
      <c r="C160" s="50" t="n"/>
      <c r="D160" s="50" t="n"/>
      <c r="E160" s="50" t="n"/>
      <c r="F160" s="50" t="n"/>
      <c r="G160" s="50" t="n"/>
      <c r="H160" s="50" t="n"/>
      <c r="I160" s="50" t="n"/>
      <c r="J160" s="50" t="n"/>
      <c r="K160" s="51" t="n"/>
      <c r="L160" s="51" t="n"/>
      <c r="M160" s="51" t="n"/>
      <c r="N160" s="50" t="n"/>
      <c r="O160" s="49">
        <f>IF($E160="","",IFERROR(INDEX(Tipos!$C$5:$C$51,MATCH($E160,Tipos!$A$5:$A$51,0)),"Tipo não encontrado"))</f>
        <v/>
      </c>
      <c r="P160" s="49">
        <f>IF($E160="","",IFERROR(INDEX(Tipos!$D$5:$D$51,MATCH($E160,Tipos!$A$5:$A$51,0)),""))</f>
        <v/>
      </c>
      <c r="Q160" s="49">
        <f>IF(COUNTA($B160:$F160)=0,"",IF($B160="","Falta Área",IF($C160="","Falta Setor",IF($D160="","Falta Equipamento",IF($E160="","Falta Tipo",IF($F160="","Falta Categoria",IF(COUNTIF($D$4:$D$303,$D160)&gt;1,"Nome repetido: diferencie (01, 02…)",IF(AND(ISNUMBER(SEARCH("Temperatura",$P160)),OR($L160="",$M160="")),"Falta faixa de temperatura",IF(AND(ISNUMBER($L160),ISNUMBER($M160),$L160&gt;$M160),"Temp. mínima maior que a máxima","OK")))))))))</f>
        <v/>
      </c>
      <c r="R160" s="49">
        <f>IF($E160="","",IFERROR(INDEX(Tipos!$B$5:$B$51,MATCH($E160,Tipos!$A$5:$A$51,0)),""))</f>
        <v/>
      </c>
    </row>
    <row r="161" ht="15" customHeight="1" s="33">
      <c r="A161" s="50" t="inlineStr">
        <is>
          <t>RioMar Recife</t>
        </is>
      </c>
      <c r="B161" s="50" t="n"/>
      <c r="C161" s="50" t="n"/>
      <c r="D161" s="50" t="n"/>
      <c r="E161" s="50" t="n"/>
      <c r="F161" s="50" t="n"/>
      <c r="G161" s="50" t="n"/>
      <c r="H161" s="50" t="n"/>
      <c r="I161" s="50" t="n"/>
      <c r="J161" s="50" t="n"/>
      <c r="K161" s="51" t="n"/>
      <c r="L161" s="51" t="n"/>
      <c r="M161" s="51" t="n"/>
      <c r="N161" s="50" t="n"/>
      <c r="O161" s="49">
        <f>IF($E161="","",IFERROR(INDEX(Tipos!$C$5:$C$51,MATCH($E161,Tipos!$A$5:$A$51,0)),"Tipo não encontrado"))</f>
        <v/>
      </c>
      <c r="P161" s="49">
        <f>IF($E161="","",IFERROR(INDEX(Tipos!$D$5:$D$51,MATCH($E161,Tipos!$A$5:$A$51,0)),""))</f>
        <v/>
      </c>
      <c r="Q161" s="49">
        <f>IF(COUNTA($B161:$F161)=0,"",IF($B161="","Falta Área",IF($C161="","Falta Setor",IF($D161="","Falta Equipamento",IF($E161="","Falta Tipo",IF($F161="","Falta Categoria",IF(COUNTIF($D$4:$D$303,$D161)&gt;1,"Nome repetido: diferencie (01, 02…)",IF(AND(ISNUMBER(SEARCH("Temperatura",$P161)),OR($L161="",$M161="")),"Falta faixa de temperatura",IF(AND(ISNUMBER($L161),ISNUMBER($M161),$L161&gt;$M161),"Temp. mínima maior que a máxima","OK")))))))))</f>
        <v/>
      </c>
      <c r="R161" s="49">
        <f>IF($E161="","",IFERROR(INDEX(Tipos!$B$5:$B$51,MATCH($E161,Tipos!$A$5:$A$51,0)),""))</f>
        <v/>
      </c>
    </row>
    <row r="162" ht="15" customHeight="1" s="33">
      <c r="A162" s="50" t="inlineStr">
        <is>
          <t>RioMar Recife</t>
        </is>
      </c>
      <c r="B162" s="50" t="n"/>
      <c r="C162" s="50" t="n"/>
      <c r="D162" s="50" t="n"/>
      <c r="E162" s="50" t="n"/>
      <c r="F162" s="50" t="n"/>
      <c r="G162" s="50" t="n"/>
      <c r="H162" s="50" t="n"/>
      <c r="I162" s="50" t="n"/>
      <c r="J162" s="50" t="n"/>
      <c r="K162" s="51" t="n"/>
      <c r="L162" s="51" t="n"/>
      <c r="M162" s="51" t="n"/>
      <c r="N162" s="50" t="n"/>
      <c r="O162" s="49">
        <f>IF($E162="","",IFERROR(INDEX(Tipos!$C$5:$C$51,MATCH($E162,Tipos!$A$5:$A$51,0)),"Tipo não encontrado"))</f>
        <v/>
      </c>
      <c r="P162" s="49">
        <f>IF($E162="","",IFERROR(INDEX(Tipos!$D$5:$D$51,MATCH($E162,Tipos!$A$5:$A$51,0)),""))</f>
        <v/>
      </c>
      <c r="Q162" s="49">
        <f>IF(COUNTA($B162:$F162)=0,"",IF($B162="","Falta Área",IF($C162="","Falta Setor",IF($D162="","Falta Equipamento",IF($E162="","Falta Tipo",IF($F162="","Falta Categoria",IF(COUNTIF($D$4:$D$303,$D162)&gt;1,"Nome repetido: diferencie (01, 02…)",IF(AND(ISNUMBER(SEARCH("Temperatura",$P162)),OR($L162="",$M162="")),"Falta faixa de temperatura",IF(AND(ISNUMBER($L162),ISNUMBER($M162),$L162&gt;$M162),"Temp. mínima maior que a máxima","OK")))))))))</f>
        <v/>
      </c>
      <c r="R162" s="49">
        <f>IF($E162="","",IFERROR(INDEX(Tipos!$B$5:$B$51,MATCH($E162,Tipos!$A$5:$A$51,0)),""))</f>
        <v/>
      </c>
    </row>
    <row r="163" ht="15" customHeight="1" s="33">
      <c r="A163" s="50" t="inlineStr">
        <is>
          <t>RioMar Recife</t>
        </is>
      </c>
      <c r="B163" s="50" t="n"/>
      <c r="C163" s="50" t="n"/>
      <c r="D163" s="50" t="n"/>
      <c r="E163" s="50" t="n"/>
      <c r="F163" s="50" t="n"/>
      <c r="G163" s="50" t="n"/>
      <c r="H163" s="50" t="n"/>
      <c r="I163" s="50" t="n"/>
      <c r="J163" s="50" t="n"/>
      <c r="K163" s="51" t="n"/>
      <c r="L163" s="51" t="n"/>
      <c r="M163" s="51" t="n"/>
      <c r="N163" s="50" t="n"/>
      <c r="O163" s="49">
        <f>IF($E163="","",IFERROR(INDEX(Tipos!$C$5:$C$51,MATCH($E163,Tipos!$A$5:$A$51,0)),"Tipo não encontrado"))</f>
        <v/>
      </c>
      <c r="P163" s="49">
        <f>IF($E163="","",IFERROR(INDEX(Tipos!$D$5:$D$51,MATCH($E163,Tipos!$A$5:$A$51,0)),""))</f>
        <v/>
      </c>
      <c r="Q163" s="49">
        <f>IF(COUNTA($B163:$F163)=0,"",IF($B163="","Falta Área",IF($C163="","Falta Setor",IF($D163="","Falta Equipamento",IF($E163="","Falta Tipo",IF($F163="","Falta Categoria",IF(COUNTIF($D$4:$D$303,$D163)&gt;1,"Nome repetido: diferencie (01, 02…)",IF(AND(ISNUMBER(SEARCH("Temperatura",$P163)),OR($L163="",$M163="")),"Falta faixa de temperatura",IF(AND(ISNUMBER($L163),ISNUMBER($M163),$L163&gt;$M163),"Temp. mínima maior que a máxima","OK")))))))))</f>
        <v/>
      </c>
      <c r="R163" s="49">
        <f>IF($E163="","",IFERROR(INDEX(Tipos!$B$5:$B$51,MATCH($E163,Tipos!$A$5:$A$51,0)),""))</f>
        <v/>
      </c>
    </row>
    <row r="164" ht="15" customHeight="1" s="33">
      <c r="A164" s="50" t="inlineStr">
        <is>
          <t>RioMar Recife</t>
        </is>
      </c>
      <c r="B164" s="50" t="n"/>
      <c r="C164" s="50" t="n"/>
      <c r="D164" s="50" t="n"/>
      <c r="E164" s="50" t="n"/>
      <c r="F164" s="50" t="n"/>
      <c r="G164" s="50" t="n"/>
      <c r="H164" s="50" t="n"/>
      <c r="I164" s="50" t="n"/>
      <c r="J164" s="50" t="n"/>
      <c r="K164" s="51" t="n"/>
      <c r="L164" s="51" t="n"/>
      <c r="M164" s="51" t="n"/>
      <c r="N164" s="50" t="n"/>
      <c r="O164" s="49">
        <f>IF($E164="","",IFERROR(INDEX(Tipos!$C$5:$C$51,MATCH($E164,Tipos!$A$5:$A$51,0)),"Tipo não encontrado"))</f>
        <v/>
      </c>
      <c r="P164" s="49">
        <f>IF($E164="","",IFERROR(INDEX(Tipos!$D$5:$D$51,MATCH($E164,Tipos!$A$5:$A$51,0)),""))</f>
        <v/>
      </c>
      <c r="Q164" s="49">
        <f>IF(COUNTA($B164:$F164)=0,"",IF($B164="","Falta Área",IF($C164="","Falta Setor",IF($D164="","Falta Equipamento",IF($E164="","Falta Tipo",IF($F164="","Falta Categoria",IF(COUNTIF($D$4:$D$303,$D164)&gt;1,"Nome repetido: diferencie (01, 02…)",IF(AND(ISNUMBER(SEARCH("Temperatura",$P164)),OR($L164="",$M164="")),"Falta faixa de temperatura",IF(AND(ISNUMBER($L164),ISNUMBER($M164),$L164&gt;$M164),"Temp. mínima maior que a máxima","OK")))))))))</f>
        <v/>
      </c>
      <c r="R164" s="49">
        <f>IF($E164="","",IFERROR(INDEX(Tipos!$B$5:$B$51,MATCH($E164,Tipos!$A$5:$A$51,0)),""))</f>
        <v/>
      </c>
    </row>
    <row r="165" ht="15" customHeight="1" s="33">
      <c r="A165" s="50" t="inlineStr">
        <is>
          <t>RioMar Recife</t>
        </is>
      </c>
      <c r="B165" s="50" t="n"/>
      <c r="C165" s="50" t="n"/>
      <c r="D165" s="50" t="n"/>
      <c r="E165" s="50" t="n"/>
      <c r="F165" s="50" t="n"/>
      <c r="G165" s="50" t="n"/>
      <c r="H165" s="50" t="n"/>
      <c r="I165" s="50" t="n"/>
      <c r="J165" s="50" t="n"/>
      <c r="K165" s="51" t="n"/>
      <c r="L165" s="51" t="n"/>
      <c r="M165" s="51" t="n"/>
      <c r="N165" s="50" t="n"/>
      <c r="O165" s="49">
        <f>IF($E165="","",IFERROR(INDEX(Tipos!$C$5:$C$51,MATCH($E165,Tipos!$A$5:$A$51,0)),"Tipo não encontrado"))</f>
        <v/>
      </c>
      <c r="P165" s="49">
        <f>IF($E165="","",IFERROR(INDEX(Tipos!$D$5:$D$51,MATCH($E165,Tipos!$A$5:$A$51,0)),""))</f>
        <v/>
      </c>
      <c r="Q165" s="49">
        <f>IF(COUNTA($B165:$F165)=0,"",IF($B165="","Falta Área",IF($C165="","Falta Setor",IF($D165="","Falta Equipamento",IF($E165="","Falta Tipo",IF($F165="","Falta Categoria",IF(COUNTIF($D$4:$D$303,$D165)&gt;1,"Nome repetido: diferencie (01, 02…)",IF(AND(ISNUMBER(SEARCH("Temperatura",$P165)),OR($L165="",$M165="")),"Falta faixa de temperatura",IF(AND(ISNUMBER($L165),ISNUMBER($M165),$L165&gt;$M165),"Temp. mínima maior que a máxima","OK")))))))))</f>
        <v/>
      </c>
      <c r="R165" s="49">
        <f>IF($E165="","",IFERROR(INDEX(Tipos!$B$5:$B$51,MATCH($E165,Tipos!$A$5:$A$51,0)),""))</f>
        <v/>
      </c>
    </row>
    <row r="166" ht="15" customHeight="1" s="33">
      <c r="A166" s="50" t="inlineStr">
        <is>
          <t>RioMar Recife</t>
        </is>
      </c>
      <c r="B166" s="50" t="n"/>
      <c r="C166" s="50" t="n"/>
      <c r="D166" s="50" t="n"/>
      <c r="E166" s="50" t="n"/>
      <c r="F166" s="50" t="n"/>
      <c r="G166" s="50" t="n"/>
      <c r="H166" s="50" t="n"/>
      <c r="I166" s="50" t="n"/>
      <c r="J166" s="50" t="n"/>
      <c r="K166" s="51" t="n"/>
      <c r="L166" s="51" t="n"/>
      <c r="M166" s="51" t="n"/>
      <c r="N166" s="50" t="n"/>
      <c r="O166" s="49">
        <f>IF($E166="","",IFERROR(INDEX(Tipos!$C$5:$C$51,MATCH($E166,Tipos!$A$5:$A$51,0)),"Tipo não encontrado"))</f>
        <v/>
      </c>
      <c r="P166" s="49">
        <f>IF($E166="","",IFERROR(INDEX(Tipos!$D$5:$D$51,MATCH($E166,Tipos!$A$5:$A$51,0)),""))</f>
        <v/>
      </c>
      <c r="Q166" s="49">
        <f>IF(COUNTA($B166:$F166)=0,"",IF($B166="","Falta Área",IF($C166="","Falta Setor",IF($D166="","Falta Equipamento",IF($E166="","Falta Tipo",IF($F166="","Falta Categoria",IF(COUNTIF($D$4:$D$303,$D166)&gt;1,"Nome repetido: diferencie (01, 02…)",IF(AND(ISNUMBER(SEARCH("Temperatura",$P166)),OR($L166="",$M166="")),"Falta faixa de temperatura",IF(AND(ISNUMBER($L166),ISNUMBER($M166),$L166&gt;$M166),"Temp. mínima maior que a máxima","OK")))))))))</f>
        <v/>
      </c>
      <c r="R166" s="49">
        <f>IF($E166="","",IFERROR(INDEX(Tipos!$B$5:$B$51,MATCH($E166,Tipos!$A$5:$A$51,0)),""))</f>
        <v/>
      </c>
    </row>
    <row r="167" ht="15" customHeight="1" s="33">
      <c r="A167" s="50" t="inlineStr">
        <is>
          <t>RioMar Recife</t>
        </is>
      </c>
      <c r="B167" s="50" t="n"/>
      <c r="C167" s="50" t="n"/>
      <c r="D167" s="50" t="n"/>
      <c r="E167" s="50" t="n"/>
      <c r="F167" s="50" t="n"/>
      <c r="G167" s="50" t="n"/>
      <c r="H167" s="50" t="n"/>
      <c r="I167" s="50" t="n"/>
      <c r="J167" s="50" t="n"/>
      <c r="K167" s="51" t="n"/>
      <c r="L167" s="51" t="n"/>
      <c r="M167" s="51" t="n"/>
      <c r="N167" s="50" t="n"/>
      <c r="O167" s="49">
        <f>IF($E167="","",IFERROR(INDEX(Tipos!$C$5:$C$51,MATCH($E167,Tipos!$A$5:$A$51,0)),"Tipo não encontrado"))</f>
        <v/>
      </c>
      <c r="P167" s="49">
        <f>IF($E167="","",IFERROR(INDEX(Tipos!$D$5:$D$51,MATCH($E167,Tipos!$A$5:$A$51,0)),""))</f>
        <v/>
      </c>
      <c r="Q167" s="49">
        <f>IF(COUNTA($B167:$F167)=0,"",IF($B167="","Falta Área",IF($C167="","Falta Setor",IF($D167="","Falta Equipamento",IF($E167="","Falta Tipo",IF($F167="","Falta Categoria",IF(COUNTIF($D$4:$D$303,$D167)&gt;1,"Nome repetido: diferencie (01, 02…)",IF(AND(ISNUMBER(SEARCH("Temperatura",$P167)),OR($L167="",$M167="")),"Falta faixa de temperatura",IF(AND(ISNUMBER($L167),ISNUMBER($M167),$L167&gt;$M167),"Temp. mínima maior que a máxima","OK")))))))))</f>
        <v/>
      </c>
      <c r="R167" s="49">
        <f>IF($E167="","",IFERROR(INDEX(Tipos!$B$5:$B$51,MATCH($E167,Tipos!$A$5:$A$51,0)),""))</f>
        <v/>
      </c>
    </row>
    <row r="168" ht="15" customHeight="1" s="33">
      <c r="A168" s="50" t="inlineStr">
        <is>
          <t>RioMar Recife</t>
        </is>
      </c>
      <c r="B168" s="50" t="n"/>
      <c r="C168" s="50" t="n"/>
      <c r="D168" s="50" t="n"/>
      <c r="E168" s="50" t="n"/>
      <c r="F168" s="50" t="n"/>
      <c r="G168" s="50" t="n"/>
      <c r="H168" s="50" t="n"/>
      <c r="I168" s="50" t="n"/>
      <c r="J168" s="50" t="n"/>
      <c r="K168" s="51" t="n"/>
      <c r="L168" s="51" t="n"/>
      <c r="M168" s="51" t="n"/>
      <c r="N168" s="50" t="n"/>
      <c r="O168" s="49">
        <f>IF($E168="","",IFERROR(INDEX(Tipos!$C$5:$C$51,MATCH($E168,Tipos!$A$5:$A$51,0)),"Tipo não encontrado"))</f>
        <v/>
      </c>
      <c r="P168" s="49">
        <f>IF($E168="","",IFERROR(INDEX(Tipos!$D$5:$D$51,MATCH($E168,Tipos!$A$5:$A$51,0)),""))</f>
        <v/>
      </c>
      <c r="Q168" s="49">
        <f>IF(COUNTA($B168:$F168)=0,"",IF($B168="","Falta Área",IF($C168="","Falta Setor",IF($D168="","Falta Equipamento",IF($E168="","Falta Tipo",IF($F168="","Falta Categoria",IF(COUNTIF($D$4:$D$303,$D168)&gt;1,"Nome repetido: diferencie (01, 02…)",IF(AND(ISNUMBER(SEARCH("Temperatura",$P168)),OR($L168="",$M168="")),"Falta faixa de temperatura",IF(AND(ISNUMBER($L168),ISNUMBER($M168),$L168&gt;$M168),"Temp. mínima maior que a máxima","OK")))))))))</f>
        <v/>
      </c>
      <c r="R168" s="49">
        <f>IF($E168="","",IFERROR(INDEX(Tipos!$B$5:$B$51,MATCH($E168,Tipos!$A$5:$A$51,0)),""))</f>
        <v/>
      </c>
    </row>
    <row r="169" ht="15" customHeight="1" s="33">
      <c r="A169" s="50" t="inlineStr">
        <is>
          <t>RioMar Recife</t>
        </is>
      </c>
      <c r="B169" s="50" t="n"/>
      <c r="C169" s="50" t="n"/>
      <c r="D169" s="50" t="n"/>
      <c r="E169" s="50" t="n"/>
      <c r="F169" s="50" t="n"/>
      <c r="G169" s="50" t="n"/>
      <c r="H169" s="50" t="n"/>
      <c r="I169" s="50" t="n"/>
      <c r="J169" s="50" t="n"/>
      <c r="K169" s="51" t="n"/>
      <c r="L169" s="51" t="n"/>
      <c r="M169" s="51" t="n"/>
      <c r="N169" s="50" t="n"/>
      <c r="O169" s="49">
        <f>IF($E169="","",IFERROR(INDEX(Tipos!$C$5:$C$51,MATCH($E169,Tipos!$A$5:$A$51,0)),"Tipo não encontrado"))</f>
        <v/>
      </c>
      <c r="P169" s="49">
        <f>IF($E169="","",IFERROR(INDEX(Tipos!$D$5:$D$51,MATCH($E169,Tipos!$A$5:$A$51,0)),""))</f>
        <v/>
      </c>
      <c r="Q169" s="49">
        <f>IF(COUNTA($B169:$F169)=0,"",IF($B169="","Falta Área",IF($C169="","Falta Setor",IF($D169="","Falta Equipamento",IF($E169="","Falta Tipo",IF($F169="","Falta Categoria",IF(COUNTIF($D$4:$D$303,$D169)&gt;1,"Nome repetido: diferencie (01, 02…)",IF(AND(ISNUMBER(SEARCH("Temperatura",$P169)),OR($L169="",$M169="")),"Falta faixa de temperatura",IF(AND(ISNUMBER($L169),ISNUMBER($M169),$L169&gt;$M169),"Temp. mínima maior que a máxima","OK")))))))))</f>
        <v/>
      </c>
      <c r="R169" s="49">
        <f>IF($E169="","",IFERROR(INDEX(Tipos!$B$5:$B$51,MATCH($E169,Tipos!$A$5:$A$51,0)),""))</f>
        <v/>
      </c>
    </row>
    <row r="170" ht="15" customHeight="1" s="33">
      <c r="A170" s="50" t="inlineStr">
        <is>
          <t>RioMar Recife</t>
        </is>
      </c>
      <c r="B170" s="50" t="n"/>
      <c r="C170" s="50" t="n"/>
      <c r="D170" s="50" t="n"/>
      <c r="E170" s="50" t="n"/>
      <c r="F170" s="50" t="n"/>
      <c r="G170" s="50" t="n"/>
      <c r="H170" s="50" t="n"/>
      <c r="I170" s="50" t="n"/>
      <c r="J170" s="50" t="n"/>
      <c r="K170" s="51" t="n"/>
      <c r="L170" s="51" t="n"/>
      <c r="M170" s="51" t="n"/>
      <c r="N170" s="50" t="n"/>
      <c r="O170" s="49">
        <f>IF($E170="","",IFERROR(INDEX(Tipos!$C$5:$C$51,MATCH($E170,Tipos!$A$5:$A$51,0)),"Tipo não encontrado"))</f>
        <v/>
      </c>
      <c r="P170" s="49">
        <f>IF($E170="","",IFERROR(INDEX(Tipos!$D$5:$D$51,MATCH($E170,Tipos!$A$5:$A$51,0)),""))</f>
        <v/>
      </c>
      <c r="Q170" s="49">
        <f>IF(COUNTA($B170:$F170)=0,"",IF($B170="","Falta Área",IF($C170="","Falta Setor",IF($D170="","Falta Equipamento",IF($E170="","Falta Tipo",IF($F170="","Falta Categoria",IF(COUNTIF($D$4:$D$303,$D170)&gt;1,"Nome repetido: diferencie (01, 02…)",IF(AND(ISNUMBER(SEARCH("Temperatura",$P170)),OR($L170="",$M170="")),"Falta faixa de temperatura",IF(AND(ISNUMBER($L170),ISNUMBER($M170),$L170&gt;$M170),"Temp. mínima maior que a máxima","OK")))))))))</f>
        <v/>
      </c>
      <c r="R170" s="49">
        <f>IF($E170="","",IFERROR(INDEX(Tipos!$B$5:$B$51,MATCH($E170,Tipos!$A$5:$A$51,0)),""))</f>
        <v/>
      </c>
    </row>
    <row r="171" ht="15" customHeight="1" s="33">
      <c r="A171" s="50" t="inlineStr">
        <is>
          <t>RioMar Recife</t>
        </is>
      </c>
      <c r="B171" s="50" t="n"/>
      <c r="C171" s="50" t="n"/>
      <c r="D171" s="50" t="n"/>
      <c r="E171" s="50" t="n"/>
      <c r="F171" s="50" t="n"/>
      <c r="G171" s="50" t="n"/>
      <c r="H171" s="50" t="n"/>
      <c r="I171" s="50" t="n"/>
      <c r="J171" s="50" t="n"/>
      <c r="K171" s="51" t="n"/>
      <c r="L171" s="51" t="n"/>
      <c r="M171" s="51" t="n"/>
      <c r="N171" s="50" t="n"/>
      <c r="O171" s="49">
        <f>IF($E171="","",IFERROR(INDEX(Tipos!$C$5:$C$51,MATCH($E171,Tipos!$A$5:$A$51,0)),"Tipo não encontrado"))</f>
        <v/>
      </c>
      <c r="P171" s="49">
        <f>IF($E171="","",IFERROR(INDEX(Tipos!$D$5:$D$51,MATCH($E171,Tipos!$A$5:$A$51,0)),""))</f>
        <v/>
      </c>
      <c r="Q171" s="49">
        <f>IF(COUNTA($B171:$F171)=0,"",IF($B171="","Falta Área",IF($C171="","Falta Setor",IF($D171="","Falta Equipamento",IF($E171="","Falta Tipo",IF($F171="","Falta Categoria",IF(COUNTIF($D$4:$D$303,$D171)&gt;1,"Nome repetido: diferencie (01, 02…)",IF(AND(ISNUMBER(SEARCH("Temperatura",$P171)),OR($L171="",$M171="")),"Falta faixa de temperatura",IF(AND(ISNUMBER($L171),ISNUMBER($M171),$L171&gt;$M171),"Temp. mínima maior que a máxima","OK")))))))))</f>
        <v/>
      </c>
      <c r="R171" s="49">
        <f>IF($E171="","",IFERROR(INDEX(Tipos!$B$5:$B$51,MATCH($E171,Tipos!$A$5:$A$51,0)),""))</f>
        <v/>
      </c>
    </row>
    <row r="172" ht="15" customHeight="1" s="33">
      <c r="A172" s="50" t="inlineStr">
        <is>
          <t>RioMar Recife</t>
        </is>
      </c>
      <c r="B172" s="50" t="n"/>
      <c r="C172" s="50" t="n"/>
      <c r="D172" s="50" t="n"/>
      <c r="E172" s="50" t="n"/>
      <c r="F172" s="50" t="n"/>
      <c r="G172" s="50" t="n"/>
      <c r="H172" s="50" t="n"/>
      <c r="I172" s="50" t="n"/>
      <c r="J172" s="50" t="n"/>
      <c r="K172" s="51" t="n"/>
      <c r="L172" s="51" t="n"/>
      <c r="M172" s="51" t="n"/>
      <c r="N172" s="50" t="n"/>
      <c r="O172" s="49">
        <f>IF($E172="","",IFERROR(INDEX(Tipos!$C$5:$C$51,MATCH($E172,Tipos!$A$5:$A$51,0)),"Tipo não encontrado"))</f>
        <v/>
      </c>
      <c r="P172" s="49">
        <f>IF($E172="","",IFERROR(INDEX(Tipos!$D$5:$D$51,MATCH($E172,Tipos!$A$5:$A$51,0)),""))</f>
        <v/>
      </c>
      <c r="Q172" s="49">
        <f>IF(COUNTA($B172:$F172)=0,"",IF($B172="","Falta Área",IF($C172="","Falta Setor",IF($D172="","Falta Equipamento",IF($E172="","Falta Tipo",IF($F172="","Falta Categoria",IF(COUNTIF($D$4:$D$303,$D172)&gt;1,"Nome repetido: diferencie (01, 02…)",IF(AND(ISNUMBER(SEARCH("Temperatura",$P172)),OR($L172="",$M172="")),"Falta faixa de temperatura",IF(AND(ISNUMBER($L172),ISNUMBER($M172),$L172&gt;$M172),"Temp. mínima maior que a máxima","OK")))))))))</f>
        <v/>
      </c>
      <c r="R172" s="49">
        <f>IF($E172="","",IFERROR(INDEX(Tipos!$B$5:$B$51,MATCH($E172,Tipos!$A$5:$A$51,0)),""))</f>
        <v/>
      </c>
    </row>
    <row r="173" ht="15" customHeight="1" s="33">
      <c r="A173" s="50" t="inlineStr">
        <is>
          <t>RioMar Recife</t>
        </is>
      </c>
      <c r="B173" s="50" t="n"/>
      <c r="C173" s="50" t="n"/>
      <c r="D173" s="50" t="n"/>
      <c r="E173" s="50" t="n"/>
      <c r="F173" s="50" t="n"/>
      <c r="G173" s="50" t="n"/>
      <c r="H173" s="50" t="n"/>
      <c r="I173" s="50" t="n"/>
      <c r="J173" s="50" t="n"/>
      <c r="K173" s="51" t="n"/>
      <c r="L173" s="51" t="n"/>
      <c r="M173" s="51" t="n"/>
      <c r="N173" s="50" t="n"/>
      <c r="O173" s="49">
        <f>IF($E173="","",IFERROR(INDEX(Tipos!$C$5:$C$51,MATCH($E173,Tipos!$A$5:$A$51,0)),"Tipo não encontrado"))</f>
        <v/>
      </c>
      <c r="P173" s="49">
        <f>IF($E173="","",IFERROR(INDEX(Tipos!$D$5:$D$51,MATCH($E173,Tipos!$A$5:$A$51,0)),""))</f>
        <v/>
      </c>
      <c r="Q173" s="49">
        <f>IF(COUNTA($B173:$F173)=0,"",IF($B173="","Falta Área",IF($C173="","Falta Setor",IF($D173="","Falta Equipamento",IF($E173="","Falta Tipo",IF($F173="","Falta Categoria",IF(COUNTIF($D$4:$D$303,$D173)&gt;1,"Nome repetido: diferencie (01, 02…)",IF(AND(ISNUMBER(SEARCH("Temperatura",$P173)),OR($L173="",$M173="")),"Falta faixa de temperatura",IF(AND(ISNUMBER($L173),ISNUMBER($M173),$L173&gt;$M173),"Temp. mínima maior que a máxima","OK")))))))))</f>
        <v/>
      </c>
      <c r="R173" s="49">
        <f>IF($E173="","",IFERROR(INDEX(Tipos!$B$5:$B$51,MATCH($E173,Tipos!$A$5:$A$51,0)),""))</f>
        <v/>
      </c>
    </row>
    <row r="174" ht="15" customHeight="1" s="33">
      <c r="A174" s="50" t="inlineStr">
        <is>
          <t>RioMar Recife</t>
        </is>
      </c>
      <c r="B174" s="50" t="n"/>
      <c r="C174" s="50" t="n"/>
      <c r="D174" s="50" t="n"/>
      <c r="E174" s="50" t="n"/>
      <c r="F174" s="50" t="n"/>
      <c r="G174" s="50" t="n"/>
      <c r="H174" s="50" t="n"/>
      <c r="I174" s="50" t="n"/>
      <c r="J174" s="50" t="n"/>
      <c r="K174" s="51" t="n"/>
      <c r="L174" s="51" t="n"/>
      <c r="M174" s="51" t="n"/>
      <c r="N174" s="50" t="n"/>
      <c r="O174" s="49">
        <f>IF($E174="","",IFERROR(INDEX(Tipos!$C$5:$C$51,MATCH($E174,Tipos!$A$5:$A$51,0)),"Tipo não encontrado"))</f>
        <v/>
      </c>
      <c r="P174" s="49">
        <f>IF($E174="","",IFERROR(INDEX(Tipos!$D$5:$D$51,MATCH($E174,Tipos!$A$5:$A$51,0)),""))</f>
        <v/>
      </c>
      <c r="Q174" s="49">
        <f>IF(COUNTA($B174:$F174)=0,"",IF($B174="","Falta Área",IF($C174="","Falta Setor",IF($D174="","Falta Equipamento",IF($E174="","Falta Tipo",IF($F174="","Falta Categoria",IF(COUNTIF($D$4:$D$303,$D174)&gt;1,"Nome repetido: diferencie (01, 02…)",IF(AND(ISNUMBER(SEARCH("Temperatura",$P174)),OR($L174="",$M174="")),"Falta faixa de temperatura",IF(AND(ISNUMBER($L174),ISNUMBER($M174),$L174&gt;$M174),"Temp. mínima maior que a máxima","OK")))))))))</f>
        <v/>
      </c>
      <c r="R174" s="49">
        <f>IF($E174="","",IFERROR(INDEX(Tipos!$B$5:$B$51,MATCH($E174,Tipos!$A$5:$A$51,0)),""))</f>
        <v/>
      </c>
    </row>
    <row r="175" ht="15" customHeight="1" s="33">
      <c r="A175" s="50" t="inlineStr">
        <is>
          <t>RioMar Recife</t>
        </is>
      </c>
      <c r="B175" s="50" t="n"/>
      <c r="C175" s="50" t="n"/>
      <c r="D175" s="50" t="n"/>
      <c r="E175" s="50" t="n"/>
      <c r="F175" s="50" t="n"/>
      <c r="G175" s="50" t="n"/>
      <c r="H175" s="50" t="n"/>
      <c r="I175" s="50" t="n"/>
      <c r="J175" s="50" t="n"/>
      <c r="K175" s="51" t="n"/>
      <c r="L175" s="51" t="n"/>
      <c r="M175" s="51" t="n"/>
      <c r="N175" s="50" t="n"/>
      <c r="O175" s="49">
        <f>IF($E175="","",IFERROR(INDEX(Tipos!$C$5:$C$51,MATCH($E175,Tipos!$A$5:$A$51,0)),"Tipo não encontrado"))</f>
        <v/>
      </c>
      <c r="P175" s="49">
        <f>IF($E175="","",IFERROR(INDEX(Tipos!$D$5:$D$51,MATCH($E175,Tipos!$A$5:$A$51,0)),""))</f>
        <v/>
      </c>
      <c r="Q175" s="49">
        <f>IF(COUNTA($B175:$F175)=0,"",IF($B175="","Falta Área",IF($C175="","Falta Setor",IF($D175="","Falta Equipamento",IF($E175="","Falta Tipo",IF($F175="","Falta Categoria",IF(COUNTIF($D$4:$D$303,$D175)&gt;1,"Nome repetido: diferencie (01, 02…)",IF(AND(ISNUMBER(SEARCH("Temperatura",$P175)),OR($L175="",$M175="")),"Falta faixa de temperatura",IF(AND(ISNUMBER($L175),ISNUMBER($M175),$L175&gt;$M175),"Temp. mínima maior que a máxima","OK")))))))))</f>
        <v/>
      </c>
      <c r="R175" s="49">
        <f>IF($E175="","",IFERROR(INDEX(Tipos!$B$5:$B$51,MATCH($E175,Tipos!$A$5:$A$51,0)),""))</f>
        <v/>
      </c>
    </row>
    <row r="176" ht="15" customHeight="1" s="33">
      <c r="A176" s="50" t="inlineStr">
        <is>
          <t>RioMar Recife</t>
        </is>
      </c>
      <c r="B176" s="50" t="n"/>
      <c r="C176" s="50" t="n"/>
      <c r="D176" s="50" t="n"/>
      <c r="E176" s="50" t="n"/>
      <c r="F176" s="50" t="n"/>
      <c r="G176" s="50" t="n"/>
      <c r="H176" s="50" t="n"/>
      <c r="I176" s="50" t="n"/>
      <c r="J176" s="50" t="n"/>
      <c r="K176" s="51" t="n"/>
      <c r="L176" s="51" t="n"/>
      <c r="M176" s="51" t="n"/>
      <c r="N176" s="50" t="n"/>
      <c r="O176" s="49">
        <f>IF($E176="","",IFERROR(INDEX(Tipos!$C$5:$C$51,MATCH($E176,Tipos!$A$5:$A$51,0)),"Tipo não encontrado"))</f>
        <v/>
      </c>
      <c r="P176" s="49">
        <f>IF($E176="","",IFERROR(INDEX(Tipos!$D$5:$D$51,MATCH($E176,Tipos!$A$5:$A$51,0)),""))</f>
        <v/>
      </c>
      <c r="Q176" s="49">
        <f>IF(COUNTA($B176:$F176)=0,"",IF($B176="","Falta Área",IF($C176="","Falta Setor",IF($D176="","Falta Equipamento",IF($E176="","Falta Tipo",IF($F176="","Falta Categoria",IF(COUNTIF($D$4:$D$303,$D176)&gt;1,"Nome repetido: diferencie (01, 02…)",IF(AND(ISNUMBER(SEARCH("Temperatura",$P176)),OR($L176="",$M176="")),"Falta faixa de temperatura",IF(AND(ISNUMBER($L176),ISNUMBER($M176),$L176&gt;$M176),"Temp. mínima maior que a máxima","OK")))))))))</f>
        <v/>
      </c>
      <c r="R176" s="49">
        <f>IF($E176="","",IFERROR(INDEX(Tipos!$B$5:$B$51,MATCH($E176,Tipos!$A$5:$A$51,0)),""))</f>
        <v/>
      </c>
    </row>
    <row r="177" ht="15" customHeight="1" s="33">
      <c r="A177" s="50" t="inlineStr">
        <is>
          <t>RioMar Recife</t>
        </is>
      </c>
      <c r="B177" s="50" t="n"/>
      <c r="C177" s="50" t="n"/>
      <c r="D177" s="50" t="n"/>
      <c r="E177" s="50" t="n"/>
      <c r="F177" s="50" t="n"/>
      <c r="G177" s="50" t="n"/>
      <c r="H177" s="50" t="n"/>
      <c r="I177" s="50" t="n"/>
      <c r="J177" s="50" t="n"/>
      <c r="K177" s="51" t="n"/>
      <c r="L177" s="51" t="n"/>
      <c r="M177" s="51" t="n"/>
      <c r="N177" s="50" t="n"/>
      <c r="O177" s="49">
        <f>IF($E177="","",IFERROR(INDEX(Tipos!$C$5:$C$51,MATCH($E177,Tipos!$A$5:$A$51,0)),"Tipo não encontrado"))</f>
        <v/>
      </c>
      <c r="P177" s="49">
        <f>IF($E177="","",IFERROR(INDEX(Tipos!$D$5:$D$51,MATCH($E177,Tipos!$A$5:$A$51,0)),""))</f>
        <v/>
      </c>
      <c r="Q177" s="49">
        <f>IF(COUNTA($B177:$F177)=0,"",IF($B177="","Falta Área",IF($C177="","Falta Setor",IF($D177="","Falta Equipamento",IF($E177="","Falta Tipo",IF($F177="","Falta Categoria",IF(COUNTIF($D$4:$D$303,$D177)&gt;1,"Nome repetido: diferencie (01, 02…)",IF(AND(ISNUMBER(SEARCH("Temperatura",$P177)),OR($L177="",$M177="")),"Falta faixa de temperatura",IF(AND(ISNUMBER($L177),ISNUMBER($M177),$L177&gt;$M177),"Temp. mínima maior que a máxima","OK")))))))))</f>
        <v/>
      </c>
      <c r="R177" s="49">
        <f>IF($E177="","",IFERROR(INDEX(Tipos!$B$5:$B$51,MATCH($E177,Tipos!$A$5:$A$51,0)),""))</f>
        <v/>
      </c>
    </row>
    <row r="178" ht="15" customHeight="1" s="33">
      <c r="A178" s="50" t="inlineStr">
        <is>
          <t>RioMar Recife</t>
        </is>
      </c>
      <c r="B178" s="50" t="n"/>
      <c r="C178" s="50" t="n"/>
      <c r="D178" s="50" t="n"/>
      <c r="E178" s="50" t="n"/>
      <c r="F178" s="50" t="n"/>
      <c r="G178" s="50" t="n"/>
      <c r="H178" s="50" t="n"/>
      <c r="I178" s="50" t="n"/>
      <c r="J178" s="50" t="n"/>
      <c r="K178" s="51" t="n"/>
      <c r="L178" s="51" t="n"/>
      <c r="M178" s="51" t="n"/>
      <c r="N178" s="50" t="n"/>
      <c r="O178" s="49">
        <f>IF($E178="","",IFERROR(INDEX(Tipos!$C$5:$C$51,MATCH($E178,Tipos!$A$5:$A$51,0)),"Tipo não encontrado"))</f>
        <v/>
      </c>
      <c r="P178" s="49">
        <f>IF($E178="","",IFERROR(INDEX(Tipos!$D$5:$D$51,MATCH($E178,Tipos!$A$5:$A$51,0)),""))</f>
        <v/>
      </c>
      <c r="Q178" s="49">
        <f>IF(COUNTA($B178:$F178)=0,"",IF($B178="","Falta Área",IF($C178="","Falta Setor",IF($D178="","Falta Equipamento",IF($E178="","Falta Tipo",IF($F178="","Falta Categoria",IF(COUNTIF($D$4:$D$303,$D178)&gt;1,"Nome repetido: diferencie (01, 02…)",IF(AND(ISNUMBER(SEARCH("Temperatura",$P178)),OR($L178="",$M178="")),"Falta faixa de temperatura",IF(AND(ISNUMBER($L178),ISNUMBER($M178),$L178&gt;$M178),"Temp. mínima maior que a máxima","OK")))))))))</f>
        <v/>
      </c>
      <c r="R178" s="49">
        <f>IF($E178="","",IFERROR(INDEX(Tipos!$B$5:$B$51,MATCH($E178,Tipos!$A$5:$A$51,0)),""))</f>
        <v/>
      </c>
    </row>
    <row r="179" ht="15" customHeight="1" s="33">
      <c r="A179" s="50" t="inlineStr">
        <is>
          <t>RioMar Recife</t>
        </is>
      </c>
      <c r="B179" s="50" t="n"/>
      <c r="C179" s="50" t="n"/>
      <c r="D179" s="50" t="n"/>
      <c r="E179" s="50" t="n"/>
      <c r="F179" s="50" t="n"/>
      <c r="G179" s="50" t="n"/>
      <c r="H179" s="50" t="n"/>
      <c r="I179" s="50" t="n"/>
      <c r="J179" s="50" t="n"/>
      <c r="K179" s="51" t="n"/>
      <c r="L179" s="51" t="n"/>
      <c r="M179" s="51" t="n"/>
      <c r="N179" s="50" t="n"/>
      <c r="O179" s="49">
        <f>IF($E179="","",IFERROR(INDEX(Tipos!$C$5:$C$51,MATCH($E179,Tipos!$A$5:$A$51,0)),"Tipo não encontrado"))</f>
        <v/>
      </c>
      <c r="P179" s="49">
        <f>IF($E179="","",IFERROR(INDEX(Tipos!$D$5:$D$51,MATCH($E179,Tipos!$A$5:$A$51,0)),""))</f>
        <v/>
      </c>
      <c r="Q179" s="49">
        <f>IF(COUNTA($B179:$F179)=0,"",IF($B179="","Falta Área",IF($C179="","Falta Setor",IF($D179="","Falta Equipamento",IF($E179="","Falta Tipo",IF($F179="","Falta Categoria",IF(COUNTIF($D$4:$D$303,$D179)&gt;1,"Nome repetido: diferencie (01, 02…)",IF(AND(ISNUMBER(SEARCH("Temperatura",$P179)),OR($L179="",$M179="")),"Falta faixa de temperatura",IF(AND(ISNUMBER($L179),ISNUMBER($M179),$L179&gt;$M179),"Temp. mínima maior que a máxima","OK")))))))))</f>
        <v/>
      </c>
      <c r="R179" s="49">
        <f>IF($E179="","",IFERROR(INDEX(Tipos!$B$5:$B$51,MATCH($E179,Tipos!$A$5:$A$51,0)),""))</f>
        <v/>
      </c>
    </row>
    <row r="180" ht="15" customHeight="1" s="33">
      <c r="A180" s="50" t="inlineStr">
        <is>
          <t>RioMar Recife</t>
        </is>
      </c>
      <c r="B180" s="50" t="n"/>
      <c r="C180" s="50" t="n"/>
      <c r="D180" s="50" t="n"/>
      <c r="E180" s="50" t="n"/>
      <c r="F180" s="50" t="n"/>
      <c r="G180" s="50" t="n"/>
      <c r="H180" s="50" t="n"/>
      <c r="I180" s="50" t="n"/>
      <c r="J180" s="50" t="n"/>
      <c r="K180" s="51" t="n"/>
      <c r="L180" s="51" t="n"/>
      <c r="M180" s="51" t="n"/>
      <c r="N180" s="50" t="n"/>
      <c r="O180" s="49">
        <f>IF($E180="","",IFERROR(INDEX(Tipos!$C$5:$C$51,MATCH($E180,Tipos!$A$5:$A$51,0)),"Tipo não encontrado"))</f>
        <v/>
      </c>
      <c r="P180" s="49">
        <f>IF($E180="","",IFERROR(INDEX(Tipos!$D$5:$D$51,MATCH($E180,Tipos!$A$5:$A$51,0)),""))</f>
        <v/>
      </c>
      <c r="Q180" s="49">
        <f>IF(COUNTA($B180:$F180)=0,"",IF($B180="","Falta Área",IF($C180="","Falta Setor",IF($D180="","Falta Equipamento",IF($E180="","Falta Tipo",IF($F180="","Falta Categoria",IF(COUNTIF($D$4:$D$303,$D180)&gt;1,"Nome repetido: diferencie (01, 02…)",IF(AND(ISNUMBER(SEARCH("Temperatura",$P180)),OR($L180="",$M180="")),"Falta faixa de temperatura",IF(AND(ISNUMBER($L180),ISNUMBER($M180),$L180&gt;$M180),"Temp. mínima maior que a máxima","OK")))))))))</f>
        <v/>
      </c>
      <c r="R180" s="49">
        <f>IF($E180="","",IFERROR(INDEX(Tipos!$B$5:$B$51,MATCH($E180,Tipos!$A$5:$A$51,0)),""))</f>
        <v/>
      </c>
    </row>
    <row r="181" ht="15" customHeight="1" s="33">
      <c r="A181" s="50" t="inlineStr">
        <is>
          <t>RioMar Recife</t>
        </is>
      </c>
      <c r="B181" s="50" t="n"/>
      <c r="C181" s="50" t="n"/>
      <c r="D181" s="50" t="n"/>
      <c r="E181" s="50" t="n"/>
      <c r="F181" s="50" t="n"/>
      <c r="G181" s="50" t="n"/>
      <c r="H181" s="50" t="n"/>
      <c r="I181" s="50" t="n"/>
      <c r="J181" s="50" t="n"/>
      <c r="K181" s="51" t="n"/>
      <c r="L181" s="51" t="n"/>
      <c r="M181" s="51" t="n"/>
      <c r="N181" s="50" t="n"/>
      <c r="O181" s="49">
        <f>IF($E181="","",IFERROR(INDEX(Tipos!$C$5:$C$51,MATCH($E181,Tipos!$A$5:$A$51,0)),"Tipo não encontrado"))</f>
        <v/>
      </c>
      <c r="P181" s="49">
        <f>IF($E181="","",IFERROR(INDEX(Tipos!$D$5:$D$51,MATCH($E181,Tipos!$A$5:$A$51,0)),""))</f>
        <v/>
      </c>
      <c r="Q181" s="49">
        <f>IF(COUNTA($B181:$F181)=0,"",IF($B181="","Falta Área",IF($C181="","Falta Setor",IF($D181="","Falta Equipamento",IF($E181="","Falta Tipo",IF($F181="","Falta Categoria",IF(COUNTIF($D$4:$D$303,$D181)&gt;1,"Nome repetido: diferencie (01, 02…)",IF(AND(ISNUMBER(SEARCH("Temperatura",$P181)),OR($L181="",$M181="")),"Falta faixa de temperatura",IF(AND(ISNUMBER($L181),ISNUMBER($M181),$L181&gt;$M181),"Temp. mínima maior que a máxima","OK")))))))))</f>
        <v/>
      </c>
      <c r="R181" s="49">
        <f>IF($E181="","",IFERROR(INDEX(Tipos!$B$5:$B$51,MATCH($E181,Tipos!$A$5:$A$51,0)),""))</f>
        <v/>
      </c>
    </row>
    <row r="182" ht="15" customHeight="1" s="33">
      <c r="A182" s="50" t="inlineStr">
        <is>
          <t>RioMar Recife</t>
        </is>
      </c>
      <c r="B182" s="50" t="n"/>
      <c r="C182" s="50" t="n"/>
      <c r="D182" s="50" t="n"/>
      <c r="E182" s="50" t="n"/>
      <c r="F182" s="50" t="n"/>
      <c r="G182" s="50" t="n"/>
      <c r="H182" s="50" t="n"/>
      <c r="I182" s="50" t="n"/>
      <c r="J182" s="50" t="n"/>
      <c r="K182" s="51" t="n"/>
      <c r="L182" s="51" t="n"/>
      <c r="M182" s="51" t="n"/>
      <c r="N182" s="50" t="n"/>
      <c r="O182" s="49">
        <f>IF($E182="","",IFERROR(INDEX(Tipos!$C$5:$C$51,MATCH($E182,Tipos!$A$5:$A$51,0)),"Tipo não encontrado"))</f>
        <v/>
      </c>
      <c r="P182" s="49">
        <f>IF($E182="","",IFERROR(INDEX(Tipos!$D$5:$D$51,MATCH($E182,Tipos!$A$5:$A$51,0)),""))</f>
        <v/>
      </c>
      <c r="Q182" s="49">
        <f>IF(COUNTA($B182:$F182)=0,"",IF($B182="","Falta Área",IF($C182="","Falta Setor",IF($D182="","Falta Equipamento",IF($E182="","Falta Tipo",IF($F182="","Falta Categoria",IF(COUNTIF($D$4:$D$303,$D182)&gt;1,"Nome repetido: diferencie (01, 02…)",IF(AND(ISNUMBER(SEARCH("Temperatura",$P182)),OR($L182="",$M182="")),"Falta faixa de temperatura",IF(AND(ISNUMBER($L182),ISNUMBER($M182),$L182&gt;$M182),"Temp. mínima maior que a máxima","OK")))))))))</f>
        <v/>
      </c>
      <c r="R182" s="49">
        <f>IF($E182="","",IFERROR(INDEX(Tipos!$B$5:$B$51,MATCH($E182,Tipos!$A$5:$A$51,0)),""))</f>
        <v/>
      </c>
    </row>
    <row r="183" ht="15" customHeight="1" s="33">
      <c r="A183" s="50" t="inlineStr">
        <is>
          <t>RioMar Recife</t>
        </is>
      </c>
      <c r="B183" s="50" t="n"/>
      <c r="C183" s="50" t="n"/>
      <c r="D183" s="50" t="n"/>
      <c r="E183" s="50" t="n"/>
      <c r="F183" s="50" t="n"/>
      <c r="G183" s="50" t="n"/>
      <c r="H183" s="50" t="n"/>
      <c r="I183" s="50" t="n"/>
      <c r="J183" s="50" t="n"/>
      <c r="K183" s="51" t="n"/>
      <c r="L183" s="51" t="n"/>
      <c r="M183" s="51" t="n"/>
      <c r="N183" s="50" t="n"/>
      <c r="O183" s="49">
        <f>IF($E183="","",IFERROR(INDEX(Tipos!$C$5:$C$51,MATCH($E183,Tipos!$A$5:$A$51,0)),"Tipo não encontrado"))</f>
        <v/>
      </c>
      <c r="P183" s="49">
        <f>IF($E183="","",IFERROR(INDEX(Tipos!$D$5:$D$51,MATCH($E183,Tipos!$A$5:$A$51,0)),""))</f>
        <v/>
      </c>
      <c r="Q183" s="49">
        <f>IF(COUNTA($B183:$F183)=0,"",IF($B183="","Falta Área",IF($C183="","Falta Setor",IF($D183="","Falta Equipamento",IF($E183="","Falta Tipo",IF($F183="","Falta Categoria",IF(COUNTIF($D$4:$D$303,$D183)&gt;1,"Nome repetido: diferencie (01, 02…)",IF(AND(ISNUMBER(SEARCH("Temperatura",$P183)),OR($L183="",$M183="")),"Falta faixa de temperatura",IF(AND(ISNUMBER($L183),ISNUMBER($M183),$L183&gt;$M183),"Temp. mínima maior que a máxima","OK")))))))))</f>
        <v/>
      </c>
      <c r="R183" s="49">
        <f>IF($E183="","",IFERROR(INDEX(Tipos!$B$5:$B$51,MATCH($E183,Tipos!$A$5:$A$51,0)),""))</f>
        <v/>
      </c>
    </row>
    <row r="184" ht="15" customHeight="1" s="33">
      <c r="A184" s="50" t="inlineStr">
        <is>
          <t>RioMar Recife</t>
        </is>
      </c>
      <c r="B184" s="50" t="n"/>
      <c r="C184" s="50" t="n"/>
      <c r="D184" s="50" t="n"/>
      <c r="E184" s="50" t="n"/>
      <c r="F184" s="50" t="n"/>
      <c r="G184" s="50" t="n"/>
      <c r="H184" s="50" t="n"/>
      <c r="I184" s="50" t="n"/>
      <c r="J184" s="50" t="n"/>
      <c r="K184" s="51" t="n"/>
      <c r="L184" s="51" t="n"/>
      <c r="M184" s="51" t="n"/>
      <c r="N184" s="50" t="n"/>
      <c r="O184" s="49">
        <f>IF($E184="","",IFERROR(INDEX(Tipos!$C$5:$C$51,MATCH($E184,Tipos!$A$5:$A$51,0)),"Tipo não encontrado"))</f>
        <v/>
      </c>
      <c r="P184" s="49">
        <f>IF($E184="","",IFERROR(INDEX(Tipos!$D$5:$D$51,MATCH($E184,Tipos!$A$5:$A$51,0)),""))</f>
        <v/>
      </c>
      <c r="Q184" s="49">
        <f>IF(COUNTA($B184:$F184)=0,"",IF($B184="","Falta Área",IF($C184="","Falta Setor",IF($D184="","Falta Equipamento",IF($E184="","Falta Tipo",IF($F184="","Falta Categoria",IF(COUNTIF($D$4:$D$303,$D184)&gt;1,"Nome repetido: diferencie (01, 02…)",IF(AND(ISNUMBER(SEARCH("Temperatura",$P184)),OR($L184="",$M184="")),"Falta faixa de temperatura",IF(AND(ISNUMBER($L184),ISNUMBER($M184),$L184&gt;$M184),"Temp. mínima maior que a máxima","OK")))))))))</f>
        <v/>
      </c>
      <c r="R184" s="49">
        <f>IF($E184="","",IFERROR(INDEX(Tipos!$B$5:$B$51,MATCH($E184,Tipos!$A$5:$A$51,0)),""))</f>
        <v/>
      </c>
    </row>
    <row r="185" ht="15" customHeight="1" s="33">
      <c r="A185" s="50" t="inlineStr">
        <is>
          <t>RioMar Recife</t>
        </is>
      </c>
      <c r="B185" s="50" t="n"/>
      <c r="C185" s="50" t="n"/>
      <c r="D185" s="50" t="n"/>
      <c r="E185" s="50" t="n"/>
      <c r="F185" s="50" t="n"/>
      <c r="G185" s="50" t="n"/>
      <c r="H185" s="50" t="n"/>
      <c r="I185" s="50" t="n"/>
      <c r="J185" s="50" t="n"/>
      <c r="K185" s="51" t="n"/>
      <c r="L185" s="51" t="n"/>
      <c r="M185" s="51" t="n"/>
      <c r="N185" s="50" t="n"/>
      <c r="O185" s="49">
        <f>IF($E185="","",IFERROR(INDEX(Tipos!$C$5:$C$51,MATCH($E185,Tipos!$A$5:$A$51,0)),"Tipo não encontrado"))</f>
        <v/>
      </c>
      <c r="P185" s="49">
        <f>IF($E185="","",IFERROR(INDEX(Tipos!$D$5:$D$51,MATCH($E185,Tipos!$A$5:$A$51,0)),""))</f>
        <v/>
      </c>
      <c r="Q185" s="49">
        <f>IF(COUNTA($B185:$F185)=0,"",IF($B185="","Falta Área",IF($C185="","Falta Setor",IF($D185="","Falta Equipamento",IF($E185="","Falta Tipo",IF($F185="","Falta Categoria",IF(COUNTIF($D$4:$D$303,$D185)&gt;1,"Nome repetido: diferencie (01, 02…)",IF(AND(ISNUMBER(SEARCH("Temperatura",$P185)),OR($L185="",$M185="")),"Falta faixa de temperatura",IF(AND(ISNUMBER($L185),ISNUMBER($M185),$L185&gt;$M185),"Temp. mínima maior que a máxima","OK")))))))))</f>
        <v/>
      </c>
      <c r="R185" s="49">
        <f>IF($E185="","",IFERROR(INDEX(Tipos!$B$5:$B$51,MATCH($E185,Tipos!$A$5:$A$51,0)),""))</f>
        <v/>
      </c>
    </row>
    <row r="186" ht="15" customHeight="1" s="33">
      <c r="A186" s="50" t="inlineStr">
        <is>
          <t>RioMar Recife</t>
        </is>
      </c>
      <c r="B186" s="50" t="n"/>
      <c r="C186" s="50" t="n"/>
      <c r="D186" s="50" t="n"/>
      <c r="E186" s="50" t="n"/>
      <c r="F186" s="50" t="n"/>
      <c r="G186" s="50" t="n"/>
      <c r="H186" s="50" t="n"/>
      <c r="I186" s="50" t="n"/>
      <c r="J186" s="50" t="n"/>
      <c r="K186" s="51" t="n"/>
      <c r="L186" s="51" t="n"/>
      <c r="M186" s="51" t="n"/>
      <c r="N186" s="50" t="n"/>
      <c r="O186" s="49">
        <f>IF($E186="","",IFERROR(INDEX(Tipos!$C$5:$C$51,MATCH($E186,Tipos!$A$5:$A$51,0)),"Tipo não encontrado"))</f>
        <v/>
      </c>
      <c r="P186" s="49">
        <f>IF($E186="","",IFERROR(INDEX(Tipos!$D$5:$D$51,MATCH($E186,Tipos!$A$5:$A$51,0)),""))</f>
        <v/>
      </c>
      <c r="Q186" s="49">
        <f>IF(COUNTA($B186:$F186)=0,"",IF($B186="","Falta Área",IF($C186="","Falta Setor",IF($D186="","Falta Equipamento",IF($E186="","Falta Tipo",IF($F186="","Falta Categoria",IF(COUNTIF($D$4:$D$303,$D186)&gt;1,"Nome repetido: diferencie (01, 02…)",IF(AND(ISNUMBER(SEARCH("Temperatura",$P186)),OR($L186="",$M186="")),"Falta faixa de temperatura",IF(AND(ISNUMBER($L186),ISNUMBER($M186),$L186&gt;$M186),"Temp. mínima maior que a máxima","OK")))))))))</f>
        <v/>
      </c>
      <c r="R186" s="49">
        <f>IF($E186="","",IFERROR(INDEX(Tipos!$B$5:$B$51,MATCH($E186,Tipos!$A$5:$A$51,0)),""))</f>
        <v/>
      </c>
    </row>
    <row r="187" ht="15" customHeight="1" s="33">
      <c r="A187" s="50" t="inlineStr">
        <is>
          <t>RioMar Recife</t>
        </is>
      </c>
      <c r="B187" s="50" t="n"/>
      <c r="C187" s="50" t="n"/>
      <c r="D187" s="50" t="n"/>
      <c r="E187" s="50" t="n"/>
      <c r="F187" s="50" t="n"/>
      <c r="G187" s="50" t="n"/>
      <c r="H187" s="50" t="n"/>
      <c r="I187" s="50" t="n"/>
      <c r="J187" s="50" t="n"/>
      <c r="K187" s="51" t="n"/>
      <c r="L187" s="51" t="n"/>
      <c r="M187" s="51" t="n"/>
      <c r="N187" s="50" t="n"/>
      <c r="O187" s="49">
        <f>IF($E187="","",IFERROR(INDEX(Tipos!$C$5:$C$51,MATCH($E187,Tipos!$A$5:$A$51,0)),"Tipo não encontrado"))</f>
        <v/>
      </c>
      <c r="P187" s="49">
        <f>IF($E187="","",IFERROR(INDEX(Tipos!$D$5:$D$51,MATCH($E187,Tipos!$A$5:$A$51,0)),""))</f>
        <v/>
      </c>
      <c r="Q187" s="49">
        <f>IF(COUNTA($B187:$F187)=0,"",IF($B187="","Falta Área",IF($C187="","Falta Setor",IF($D187="","Falta Equipamento",IF($E187="","Falta Tipo",IF($F187="","Falta Categoria",IF(COUNTIF($D$4:$D$303,$D187)&gt;1,"Nome repetido: diferencie (01, 02…)",IF(AND(ISNUMBER(SEARCH("Temperatura",$P187)),OR($L187="",$M187="")),"Falta faixa de temperatura",IF(AND(ISNUMBER($L187),ISNUMBER($M187),$L187&gt;$M187),"Temp. mínima maior que a máxima","OK")))))))))</f>
        <v/>
      </c>
      <c r="R187" s="49">
        <f>IF($E187="","",IFERROR(INDEX(Tipos!$B$5:$B$51,MATCH($E187,Tipos!$A$5:$A$51,0)),""))</f>
        <v/>
      </c>
    </row>
    <row r="188" ht="15" customHeight="1" s="33">
      <c r="A188" s="50" t="inlineStr">
        <is>
          <t>RioMar Recife</t>
        </is>
      </c>
      <c r="B188" s="50" t="n"/>
      <c r="C188" s="50" t="n"/>
      <c r="D188" s="50" t="n"/>
      <c r="E188" s="50" t="n"/>
      <c r="F188" s="50" t="n"/>
      <c r="G188" s="50" t="n"/>
      <c r="H188" s="50" t="n"/>
      <c r="I188" s="50" t="n"/>
      <c r="J188" s="50" t="n"/>
      <c r="K188" s="51" t="n"/>
      <c r="L188" s="51" t="n"/>
      <c r="M188" s="51" t="n"/>
      <c r="N188" s="50" t="n"/>
      <c r="O188" s="49">
        <f>IF($E188="","",IFERROR(INDEX(Tipos!$C$5:$C$51,MATCH($E188,Tipos!$A$5:$A$51,0)),"Tipo não encontrado"))</f>
        <v/>
      </c>
      <c r="P188" s="49">
        <f>IF($E188="","",IFERROR(INDEX(Tipos!$D$5:$D$51,MATCH($E188,Tipos!$A$5:$A$51,0)),""))</f>
        <v/>
      </c>
      <c r="Q188" s="49">
        <f>IF(COUNTA($B188:$F188)=0,"",IF($B188="","Falta Área",IF($C188="","Falta Setor",IF($D188="","Falta Equipamento",IF($E188="","Falta Tipo",IF($F188="","Falta Categoria",IF(COUNTIF($D$4:$D$303,$D188)&gt;1,"Nome repetido: diferencie (01, 02…)",IF(AND(ISNUMBER(SEARCH("Temperatura",$P188)),OR($L188="",$M188="")),"Falta faixa de temperatura",IF(AND(ISNUMBER($L188),ISNUMBER($M188),$L188&gt;$M188),"Temp. mínima maior que a máxima","OK")))))))))</f>
        <v/>
      </c>
      <c r="R188" s="49">
        <f>IF($E188="","",IFERROR(INDEX(Tipos!$B$5:$B$51,MATCH($E188,Tipos!$A$5:$A$51,0)),""))</f>
        <v/>
      </c>
    </row>
    <row r="189" ht="15" customHeight="1" s="33">
      <c r="A189" s="50" t="inlineStr">
        <is>
          <t>RioMar Recife</t>
        </is>
      </c>
      <c r="B189" s="50" t="n"/>
      <c r="C189" s="50" t="n"/>
      <c r="D189" s="50" t="n"/>
      <c r="E189" s="50" t="n"/>
      <c r="F189" s="50" t="n"/>
      <c r="G189" s="50" t="n"/>
      <c r="H189" s="50" t="n"/>
      <c r="I189" s="50" t="n"/>
      <c r="J189" s="50" t="n"/>
      <c r="K189" s="51" t="n"/>
      <c r="L189" s="51" t="n"/>
      <c r="M189" s="51" t="n"/>
      <c r="N189" s="50" t="n"/>
      <c r="O189" s="49">
        <f>IF($E189="","",IFERROR(INDEX(Tipos!$C$5:$C$51,MATCH($E189,Tipos!$A$5:$A$51,0)),"Tipo não encontrado"))</f>
        <v/>
      </c>
      <c r="P189" s="49">
        <f>IF($E189="","",IFERROR(INDEX(Tipos!$D$5:$D$51,MATCH($E189,Tipos!$A$5:$A$51,0)),""))</f>
        <v/>
      </c>
      <c r="Q189" s="49">
        <f>IF(COUNTA($B189:$F189)=0,"",IF($B189="","Falta Área",IF($C189="","Falta Setor",IF($D189="","Falta Equipamento",IF($E189="","Falta Tipo",IF($F189="","Falta Categoria",IF(COUNTIF($D$4:$D$303,$D189)&gt;1,"Nome repetido: diferencie (01, 02…)",IF(AND(ISNUMBER(SEARCH("Temperatura",$P189)),OR($L189="",$M189="")),"Falta faixa de temperatura",IF(AND(ISNUMBER($L189),ISNUMBER($M189),$L189&gt;$M189),"Temp. mínima maior que a máxima","OK")))))))))</f>
        <v/>
      </c>
      <c r="R189" s="49">
        <f>IF($E189="","",IFERROR(INDEX(Tipos!$B$5:$B$51,MATCH($E189,Tipos!$A$5:$A$51,0)),""))</f>
        <v/>
      </c>
    </row>
    <row r="190" ht="15" customHeight="1" s="33">
      <c r="A190" s="50" t="inlineStr">
        <is>
          <t>RioMar Recife</t>
        </is>
      </c>
      <c r="B190" s="50" t="n"/>
      <c r="C190" s="50" t="n"/>
      <c r="D190" s="50" t="n"/>
      <c r="E190" s="50" t="n"/>
      <c r="F190" s="50" t="n"/>
      <c r="G190" s="50" t="n"/>
      <c r="H190" s="50" t="n"/>
      <c r="I190" s="50" t="n"/>
      <c r="J190" s="50" t="n"/>
      <c r="K190" s="51" t="n"/>
      <c r="L190" s="51" t="n"/>
      <c r="M190" s="51" t="n"/>
      <c r="N190" s="50" t="n"/>
      <c r="O190" s="49">
        <f>IF($E190="","",IFERROR(INDEX(Tipos!$C$5:$C$51,MATCH($E190,Tipos!$A$5:$A$51,0)),"Tipo não encontrado"))</f>
        <v/>
      </c>
      <c r="P190" s="49">
        <f>IF($E190="","",IFERROR(INDEX(Tipos!$D$5:$D$51,MATCH($E190,Tipos!$A$5:$A$51,0)),""))</f>
        <v/>
      </c>
      <c r="Q190" s="49">
        <f>IF(COUNTA($B190:$F190)=0,"",IF($B190="","Falta Área",IF($C190="","Falta Setor",IF($D190="","Falta Equipamento",IF($E190="","Falta Tipo",IF($F190="","Falta Categoria",IF(COUNTIF($D$4:$D$303,$D190)&gt;1,"Nome repetido: diferencie (01, 02…)",IF(AND(ISNUMBER(SEARCH("Temperatura",$P190)),OR($L190="",$M190="")),"Falta faixa de temperatura",IF(AND(ISNUMBER($L190),ISNUMBER($M190),$L190&gt;$M190),"Temp. mínima maior que a máxima","OK")))))))))</f>
        <v/>
      </c>
      <c r="R190" s="49">
        <f>IF($E190="","",IFERROR(INDEX(Tipos!$B$5:$B$51,MATCH($E190,Tipos!$A$5:$A$51,0)),""))</f>
        <v/>
      </c>
    </row>
    <row r="191" ht="15" customHeight="1" s="33">
      <c r="A191" s="50" t="inlineStr">
        <is>
          <t>RioMar Recife</t>
        </is>
      </c>
      <c r="B191" s="50" t="n"/>
      <c r="C191" s="50" t="n"/>
      <c r="D191" s="50" t="n"/>
      <c r="E191" s="50" t="n"/>
      <c r="F191" s="50" t="n"/>
      <c r="G191" s="50" t="n"/>
      <c r="H191" s="50" t="n"/>
      <c r="I191" s="50" t="n"/>
      <c r="J191" s="50" t="n"/>
      <c r="K191" s="51" t="n"/>
      <c r="L191" s="51" t="n"/>
      <c r="M191" s="51" t="n"/>
      <c r="N191" s="50" t="n"/>
      <c r="O191" s="49">
        <f>IF($E191="","",IFERROR(INDEX(Tipos!$C$5:$C$51,MATCH($E191,Tipos!$A$5:$A$51,0)),"Tipo não encontrado"))</f>
        <v/>
      </c>
      <c r="P191" s="49">
        <f>IF($E191="","",IFERROR(INDEX(Tipos!$D$5:$D$51,MATCH($E191,Tipos!$A$5:$A$51,0)),""))</f>
        <v/>
      </c>
      <c r="Q191" s="49">
        <f>IF(COUNTA($B191:$F191)=0,"",IF($B191="","Falta Área",IF($C191="","Falta Setor",IF($D191="","Falta Equipamento",IF($E191="","Falta Tipo",IF($F191="","Falta Categoria",IF(COUNTIF($D$4:$D$303,$D191)&gt;1,"Nome repetido: diferencie (01, 02…)",IF(AND(ISNUMBER(SEARCH("Temperatura",$P191)),OR($L191="",$M191="")),"Falta faixa de temperatura",IF(AND(ISNUMBER($L191),ISNUMBER($M191),$L191&gt;$M191),"Temp. mínima maior que a máxima","OK")))))))))</f>
        <v/>
      </c>
      <c r="R191" s="49">
        <f>IF($E191="","",IFERROR(INDEX(Tipos!$B$5:$B$51,MATCH($E191,Tipos!$A$5:$A$51,0)),""))</f>
        <v/>
      </c>
    </row>
    <row r="192" ht="15" customHeight="1" s="33">
      <c r="A192" s="50" t="inlineStr">
        <is>
          <t>RioMar Recife</t>
        </is>
      </c>
      <c r="B192" s="50" t="n"/>
      <c r="C192" s="50" t="n"/>
      <c r="D192" s="50" t="n"/>
      <c r="E192" s="50" t="n"/>
      <c r="F192" s="50" t="n"/>
      <c r="G192" s="50" t="n"/>
      <c r="H192" s="50" t="n"/>
      <c r="I192" s="50" t="n"/>
      <c r="J192" s="50" t="n"/>
      <c r="K192" s="51" t="n"/>
      <c r="L192" s="51" t="n"/>
      <c r="M192" s="51" t="n"/>
      <c r="N192" s="50" t="n"/>
      <c r="O192" s="49">
        <f>IF($E192="","",IFERROR(INDEX(Tipos!$C$5:$C$51,MATCH($E192,Tipos!$A$5:$A$51,0)),"Tipo não encontrado"))</f>
        <v/>
      </c>
      <c r="P192" s="49">
        <f>IF($E192="","",IFERROR(INDEX(Tipos!$D$5:$D$51,MATCH($E192,Tipos!$A$5:$A$51,0)),""))</f>
        <v/>
      </c>
      <c r="Q192" s="49">
        <f>IF(COUNTA($B192:$F192)=0,"",IF($B192="","Falta Área",IF($C192="","Falta Setor",IF($D192="","Falta Equipamento",IF($E192="","Falta Tipo",IF($F192="","Falta Categoria",IF(COUNTIF($D$4:$D$303,$D192)&gt;1,"Nome repetido: diferencie (01, 02…)",IF(AND(ISNUMBER(SEARCH("Temperatura",$P192)),OR($L192="",$M192="")),"Falta faixa de temperatura",IF(AND(ISNUMBER($L192),ISNUMBER($M192),$L192&gt;$M192),"Temp. mínima maior que a máxima","OK")))))))))</f>
        <v/>
      </c>
      <c r="R192" s="49">
        <f>IF($E192="","",IFERROR(INDEX(Tipos!$B$5:$B$51,MATCH($E192,Tipos!$A$5:$A$51,0)),""))</f>
        <v/>
      </c>
    </row>
    <row r="193" ht="15" customHeight="1" s="33">
      <c r="A193" s="50" t="inlineStr">
        <is>
          <t>RioMar Recife</t>
        </is>
      </c>
      <c r="B193" s="50" t="n"/>
      <c r="C193" s="50" t="n"/>
      <c r="D193" s="50" t="n"/>
      <c r="E193" s="50" t="n"/>
      <c r="F193" s="50" t="n"/>
      <c r="G193" s="50" t="n"/>
      <c r="H193" s="50" t="n"/>
      <c r="I193" s="50" t="n"/>
      <c r="J193" s="50" t="n"/>
      <c r="K193" s="51" t="n"/>
      <c r="L193" s="51" t="n"/>
      <c r="M193" s="51" t="n"/>
      <c r="N193" s="50" t="n"/>
      <c r="O193" s="49">
        <f>IF($E193="","",IFERROR(INDEX(Tipos!$C$5:$C$51,MATCH($E193,Tipos!$A$5:$A$51,0)),"Tipo não encontrado"))</f>
        <v/>
      </c>
      <c r="P193" s="49">
        <f>IF($E193="","",IFERROR(INDEX(Tipos!$D$5:$D$51,MATCH($E193,Tipos!$A$5:$A$51,0)),""))</f>
        <v/>
      </c>
      <c r="Q193" s="49">
        <f>IF(COUNTA($B193:$F193)=0,"",IF($B193="","Falta Área",IF($C193="","Falta Setor",IF($D193="","Falta Equipamento",IF($E193="","Falta Tipo",IF($F193="","Falta Categoria",IF(COUNTIF($D$4:$D$303,$D193)&gt;1,"Nome repetido: diferencie (01, 02…)",IF(AND(ISNUMBER(SEARCH("Temperatura",$P193)),OR($L193="",$M193="")),"Falta faixa de temperatura",IF(AND(ISNUMBER($L193),ISNUMBER($M193),$L193&gt;$M193),"Temp. mínima maior que a máxima","OK")))))))))</f>
        <v/>
      </c>
      <c r="R193" s="49">
        <f>IF($E193="","",IFERROR(INDEX(Tipos!$B$5:$B$51,MATCH($E193,Tipos!$A$5:$A$51,0)),""))</f>
        <v/>
      </c>
    </row>
    <row r="194" ht="15" customHeight="1" s="33">
      <c r="A194" s="50" t="inlineStr">
        <is>
          <t>RioMar Recife</t>
        </is>
      </c>
      <c r="B194" s="50" t="n"/>
      <c r="C194" s="50" t="n"/>
      <c r="D194" s="50" t="n"/>
      <c r="E194" s="50" t="n"/>
      <c r="F194" s="50" t="n"/>
      <c r="G194" s="50" t="n"/>
      <c r="H194" s="50" t="n"/>
      <c r="I194" s="50" t="n"/>
      <c r="J194" s="50" t="n"/>
      <c r="K194" s="51" t="n"/>
      <c r="L194" s="51" t="n"/>
      <c r="M194" s="51" t="n"/>
      <c r="N194" s="50" t="n"/>
      <c r="O194" s="49">
        <f>IF($E194="","",IFERROR(INDEX(Tipos!$C$5:$C$51,MATCH($E194,Tipos!$A$5:$A$51,0)),"Tipo não encontrado"))</f>
        <v/>
      </c>
      <c r="P194" s="49">
        <f>IF($E194="","",IFERROR(INDEX(Tipos!$D$5:$D$51,MATCH($E194,Tipos!$A$5:$A$51,0)),""))</f>
        <v/>
      </c>
      <c r="Q194" s="49">
        <f>IF(COUNTA($B194:$F194)=0,"",IF($B194="","Falta Área",IF($C194="","Falta Setor",IF($D194="","Falta Equipamento",IF($E194="","Falta Tipo",IF($F194="","Falta Categoria",IF(COUNTIF($D$4:$D$303,$D194)&gt;1,"Nome repetido: diferencie (01, 02…)",IF(AND(ISNUMBER(SEARCH("Temperatura",$P194)),OR($L194="",$M194="")),"Falta faixa de temperatura",IF(AND(ISNUMBER($L194),ISNUMBER($M194),$L194&gt;$M194),"Temp. mínima maior que a máxima","OK")))))))))</f>
        <v/>
      </c>
      <c r="R194" s="49">
        <f>IF($E194="","",IFERROR(INDEX(Tipos!$B$5:$B$51,MATCH($E194,Tipos!$A$5:$A$51,0)),""))</f>
        <v/>
      </c>
    </row>
    <row r="195" ht="15" customHeight="1" s="33">
      <c r="A195" s="50" t="inlineStr">
        <is>
          <t>RioMar Recife</t>
        </is>
      </c>
      <c r="B195" s="50" t="n"/>
      <c r="C195" s="50" t="n"/>
      <c r="D195" s="50" t="n"/>
      <c r="E195" s="50" t="n"/>
      <c r="F195" s="50" t="n"/>
      <c r="G195" s="50" t="n"/>
      <c r="H195" s="50" t="n"/>
      <c r="I195" s="50" t="n"/>
      <c r="J195" s="50" t="n"/>
      <c r="K195" s="51" t="n"/>
      <c r="L195" s="51" t="n"/>
      <c r="M195" s="51" t="n"/>
      <c r="N195" s="50" t="n"/>
      <c r="O195" s="49">
        <f>IF($E195="","",IFERROR(INDEX(Tipos!$C$5:$C$51,MATCH($E195,Tipos!$A$5:$A$51,0)),"Tipo não encontrado"))</f>
        <v/>
      </c>
      <c r="P195" s="49">
        <f>IF($E195="","",IFERROR(INDEX(Tipos!$D$5:$D$51,MATCH($E195,Tipos!$A$5:$A$51,0)),""))</f>
        <v/>
      </c>
      <c r="Q195" s="49">
        <f>IF(COUNTA($B195:$F195)=0,"",IF($B195="","Falta Área",IF($C195="","Falta Setor",IF($D195="","Falta Equipamento",IF($E195="","Falta Tipo",IF($F195="","Falta Categoria",IF(COUNTIF($D$4:$D$303,$D195)&gt;1,"Nome repetido: diferencie (01, 02…)",IF(AND(ISNUMBER(SEARCH("Temperatura",$P195)),OR($L195="",$M195="")),"Falta faixa de temperatura",IF(AND(ISNUMBER($L195),ISNUMBER($M195),$L195&gt;$M195),"Temp. mínima maior que a máxima","OK")))))))))</f>
        <v/>
      </c>
      <c r="R195" s="49">
        <f>IF($E195="","",IFERROR(INDEX(Tipos!$B$5:$B$51,MATCH($E195,Tipos!$A$5:$A$51,0)),""))</f>
        <v/>
      </c>
    </row>
    <row r="196" ht="15" customHeight="1" s="33">
      <c r="A196" s="50" t="inlineStr">
        <is>
          <t>RioMar Recife</t>
        </is>
      </c>
      <c r="B196" s="50" t="n"/>
      <c r="C196" s="50" t="n"/>
      <c r="D196" s="50" t="n"/>
      <c r="E196" s="50" t="n"/>
      <c r="F196" s="50" t="n"/>
      <c r="G196" s="50" t="n"/>
      <c r="H196" s="50" t="n"/>
      <c r="I196" s="50" t="n"/>
      <c r="J196" s="50" t="n"/>
      <c r="K196" s="51" t="n"/>
      <c r="L196" s="51" t="n"/>
      <c r="M196" s="51" t="n"/>
      <c r="N196" s="50" t="n"/>
      <c r="O196" s="49">
        <f>IF($E196="","",IFERROR(INDEX(Tipos!$C$5:$C$51,MATCH($E196,Tipos!$A$5:$A$51,0)),"Tipo não encontrado"))</f>
        <v/>
      </c>
      <c r="P196" s="49">
        <f>IF($E196="","",IFERROR(INDEX(Tipos!$D$5:$D$51,MATCH($E196,Tipos!$A$5:$A$51,0)),""))</f>
        <v/>
      </c>
      <c r="Q196" s="49">
        <f>IF(COUNTA($B196:$F196)=0,"",IF($B196="","Falta Área",IF($C196="","Falta Setor",IF($D196="","Falta Equipamento",IF($E196="","Falta Tipo",IF($F196="","Falta Categoria",IF(COUNTIF($D$4:$D$303,$D196)&gt;1,"Nome repetido: diferencie (01, 02…)",IF(AND(ISNUMBER(SEARCH("Temperatura",$P196)),OR($L196="",$M196="")),"Falta faixa de temperatura",IF(AND(ISNUMBER($L196),ISNUMBER($M196),$L196&gt;$M196),"Temp. mínima maior que a máxima","OK")))))))))</f>
        <v/>
      </c>
      <c r="R196" s="49">
        <f>IF($E196="","",IFERROR(INDEX(Tipos!$B$5:$B$51,MATCH($E196,Tipos!$A$5:$A$51,0)),""))</f>
        <v/>
      </c>
    </row>
    <row r="197" ht="15" customHeight="1" s="33">
      <c r="A197" s="50" t="inlineStr">
        <is>
          <t>RioMar Recife</t>
        </is>
      </c>
      <c r="B197" s="50" t="n"/>
      <c r="C197" s="50" t="n"/>
      <c r="D197" s="50" t="n"/>
      <c r="E197" s="50" t="n"/>
      <c r="F197" s="50" t="n"/>
      <c r="G197" s="50" t="n"/>
      <c r="H197" s="50" t="n"/>
      <c r="I197" s="50" t="n"/>
      <c r="J197" s="50" t="n"/>
      <c r="K197" s="51" t="n"/>
      <c r="L197" s="51" t="n"/>
      <c r="M197" s="51" t="n"/>
      <c r="N197" s="50" t="n"/>
      <c r="O197" s="49">
        <f>IF($E197="","",IFERROR(INDEX(Tipos!$C$5:$C$51,MATCH($E197,Tipos!$A$5:$A$51,0)),"Tipo não encontrado"))</f>
        <v/>
      </c>
      <c r="P197" s="49">
        <f>IF($E197="","",IFERROR(INDEX(Tipos!$D$5:$D$51,MATCH($E197,Tipos!$A$5:$A$51,0)),""))</f>
        <v/>
      </c>
      <c r="Q197" s="49">
        <f>IF(COUNTA($B197:$F197)=0,"",IF($B197="","Falta Área",IF($C197="","Falta Setor",IF($D197="","Falta Equipamento",IF($E197="","Falta Tipo",IF($F197="","Falta Categoria",IF(COUNTIF($D$4:$D$303,$D197)&gt;1,"Nome repetido: diferencie (01, 02…)",IF(AND(ISNUMBER(SEARCH("Temperatura",$P197)),OR($L197="",$M197="")),"Falta faixa de temperatura",IF(AND(ISNUMBER($L197),ISNUMBER($M197),$L197&gt;$M197),"Temp. mínima maior que a máxima","OK")))))))))</f>
        <v/>
      </c>
      <c r="R197" s="49">
        <f>IF($E197="","",IFERROR(INDEX(Tipos!$B$5:$B$51,MATCH($E197,Tipos!$A$5:$A$51,0)),""))</f>
        <v/>
      </c>
    </row>
    <row r="198" ht="15" customHeight="1" s="33">
      <c r="A198" s="50" t="inlineStr">
        <is>
          <t>RioMar Recife</t>
        </is>
      </c>
      <c r="B198" s="50" t="n"/>
      <c r="C198" s="50" t="n"/>
      <c r="D198" s="50" t="n"/>
      <c r="E198" s="50" t="n"/>
      <c r="F198" s="50" t="n"/>
      <c r="G198" s="50" t="n"/>
      <c r="H198" s="50" t="n"/>
      <c r="I198" s="50" t="n"/>
      <c r="J198" s="50" t="n"/>
      <c r="K198" s="51" t="n"/>
      <c r="L198" s="51" t="n"/>
      <c r="M198" s="51" t="n"/>
      <c r="N198" s="50" t="n"/>
      <c r="O198" s="49">
        <f>IF($E198="","",IFERROR(INDEX(Tipos!$C$5:$C$51,MATCH($E198,Tipos!$A$5:$A$51,0)),"Tipo não encontrado"))</f>
        <v/>
      </c>
      <c r="P198" s="49">
        <f>IF($E198="","",IFERROR(INDEX(Tipos!$D$5:$D$51,MATCH($E198,Tipos!$A$5:$A$51,0)),""))</f>
        <v/>
      </c>
      <c r="Q198" s="49">
        <f>IF(COUNTA($B198:$F198)=0,"",IF($B198="","Falta Área",IF($C198="","Falta Setor",IF($D198="","Falta Equipamento",IF($E198="","Falta Tipo",IF($F198="","Falta Categoria",IF(COUNTIF($D$4:$D$303,$D198)&gt;1,"Nome repetido: diferencie (01, 02…)",IF(AND(ISNUMBER(SEARCH("Temperatura",$P198)),OR($L198="",$M198="")),"Falta faixa de temperatura",IF(AND(ISNUMBER($L198),ISNUMBER($M198),$L198&gt;$M198),"Temp. mínima maior que a máxima","OK")))))))))</f>
        <v/>
      </c>
      <c r="R198" s="49">
        <f>IF($E198="","",IFERROR(INDEX(Tipos!$B$5:$B$51,MATCH($E198,Tipos!$A$5:$A$51,0)),""))</f>
        <v/>
      </c>
    </row>
    <row r="199" ht="15" customHeight="1" s="33">
      <c r="A199" s="50" t="inlineStr">
        <is>
          <t>RioMar Recife</t>
        </is>
      </c>
      <c r="B199" s="50" t="n"/>
      <c r="C199" s="50" t="n"/>
      <c r="D199" s="50" t="n"/>
      <c r="E199" s="50" t="n"/>
      <c r="F199" s="50" t="n"/>
      <c r="G199" s="50" t="n"/>
      <c r="H199" s="50" t="n"/>
      <c r="I199" s="50" t="n"/>
      <c r="J199" s="50" t="n"/>
      <c r="K199" s="51" t="n"/>
      <c r="L199" s="51" t="n"/>
      <c r="M199" s="51" t="n"/>
      <c r="N199" s="50" t="n"/>
      <c r="O199" s="49">
        <f>IF($E199="","",IFERROR(INDEX(Tipos!$C$5:$C$51,MATCH($E199,Tipos!$A$5:$A$51,0)),"Tipo não encontrado"))</f>
        <v/>
      </c>
      <c r="P199" s="49">
        <f>IF($E199="","",IFERROR(INDEX(Tipos!$D$5:$D$51,MATCH($E199,Tipos!$A$5:$A$51,0)),""))</f>
        <v/>
      </c>
      <c r="Q199" s="49">
        <f>IF(COUNTA($B199:$F199)=0,"",IF($B199="","Falta Área",IF($C199="","Falta Setor",IF($D199="","Falta Equipamento",IF($E199="","Falta Tipo",IF($F199="","Falta Categoria",IF(COUNTIF($D$4:$D$303,$D199)&gt;1,"Nome repetido: diferencie (01, 02…)",IF(AND(ISNUMBER(SEARCH("Temperatura",$P199)),OR($L199="",$M199="")),"Falta faixa de temperatura",IF(AND(ISNUMBER($L199),ISNUMBER($M199),$L199&gt;$M199),"Temp. mínima maior que a máxima","OK")))))))))</f>
        <v/>
      </c>
      <c r="R199" s="49">
        <f>IF($E199="","",IFERROR(INDEX(Tipos!$B$5:$B$51,MATCH($E199,Tipos!$A$5:$A$51,0)),""))</f>
        <v/>
      </c>
    </row>
    <row r="200" ht="15" customHeight="1" s="33">
      <c r="A200" s="50" t="inlineStr">
        <is>
          <t>RioMar Recife</t>
        </is>
      </c>
      <c r="B200" s="50" t="n"/>
      <c r="C200" s="50" t="n"/>
      <c r="D200" s="50" t="n"/>
      <c r="E200" s="50" t="n"/>
      <c r="F200" s="50" t="n"/>
      <c r="G200" s="50" t="n"/>
      <c r="H200" s="50" t="n"/>
      <c r="I200" s="50" t="n"/>
      <c r="J200" s="50" t="n"/>
      <c r="K200" s="51" t="n"/>
      <c r="L200" s="51" t="n"/>
      <c r="M200" s="51" t="n"/>
      <c r="N200" s="50" t="n"/>
      <c r="O200" s="49">
        <f>IF($E200="","",IFERROR(INDEX(Tipos!$C$5:$C$51,MATCH($E200,Tipos!$A$5:$A$51,0)),"Tipo não encontrado"))</f>
        <v/>
      </c>
      <c r="P200" s="49">
        <f>IF($E200="","",IFERROR(INDEX(Tipos!$D$5:$D$51,MATCH($E200,Tipos!$A$5:$A$51,0)),""))</f>
        <v/>
      </c>
      <c r="Q200" s="49">
        <f>IF(COUNTA($B200:$F200)=0,"",IF($B200="","Falta Área",IF($C200="","Falta Setor",IF($D200="","Falta Equipamento",IF($E200="","Falta Tipo",IF($F200="","Falta Categoria",IF(COUNTIF($D$4:$D$303,$D200)&gt;1,"Nome repetido: diferencie (01, 02…)",IF(AND(ISNUMBER(SEARCH("Temperatura",$P200)),OR($L200="",$M200="")),"Falta faixa de temperatura",IF(AND(ISNUMBER($L200),ISNUMBER($M200),$L200&gt;$M200),"Temp. mínima maior que a máxima","OK")))))))))</f>
        <v/>
      </c>
      <c r="R200" s="49">
        <f>IF($E200="","",IFERROR(INDEX(Tipos!$B$5:$B$51,MATCH($E200,Tipos!$A$5:$A$51,0)),""))</f>
        <v/>
      </c>
    </row>
    <row r="201" ht="15" customHeight="1" s="33">
      <c r="A201" s="50" t="inlineStr">
        <is>
          <t>RioMar Recife</t>
        </is>
      </c>
      <c r="B201" s="50" t="n"/>
      <c r="C201" s="50" t="n"/>
      <c r="D201" s="50" t="n"/>
      <c r="E201" s="50" t="n"/>
      <c r="F201" s="50" t="n"/>
      <c r="G201" s="50" t="n"/>
      <c r="H201" s="50" t="n"/>
      <c r="I201" s="50" t="n"/>
      <c r="J201" s="50" t="n"/>
      <c r="K201" s="51" t="n"/>
      <c r="L201" s="51" t="n"/>
      <c r="M201" s="51" t="n"/>
      <c r="N201" s="50" t="n"/>
      <c r="O201" s="49">
        <f>IF($E201="","",IFERROR(INDEX(Tipos!$C$5:$C$51,MATCH($E201,Tipos!$A$5:$A$51,0)),"Tipo não encontrado"))</f>
        <v/>
      </c>
      <c r="P201" s="49">
        <f>IF($E201="","",IFERROR(INDEX(Tipos!$D$5:$D$51,MATCH($E201,Tipos!$A$5:$A$51,0)),""))</f>
        <v/>
      </c>
      <c r="Q201" s="49">
        <f>IF(COUNTA($B201:$F201)=0,"",IF($B201="","Falta Área",IF($C201="","Falta Setor",IF($D201="","Falta Equipamento",IF($E201="","Falta Tipo",IF($F201="","Falta Categoria",IF(COUNTIF($D$4:$D$303,$D201)&gt;1,"Nome repetido: diferencie (01, 02…)",IF(AND(ISNUMBER(SEARCH("Temperatura",$P201)),OR($L201="",$M201="")),"Falta faixa de temperatura",IF(AND(ISNUMBER($L201),ISNUMBER($M201),$L201&gt;$M201),"Temp. mínima maior que a máxima","OK")))))))))</f>
        <v/>
      </c>
      <c r="R201" s="49">
        <f>IF($E201="","",IFERROR(INDEX(Tipos!$B$5:$B$51,MATCH($E201,Tipos!$A$5:$A$51,0)),""))</f>
        <v/>
      </c>
    </row>
    <row r="202" ht="15" customHeight="1" s="33">
      <c r="A202" s="50" t="inlineStr">
        <is>
          <t>RioMar Recife</t>
        </is>
      </c>
      <c r="B202" s="50" t="n"/>
      <c r="C202" s="50" t="n"/>
      <c r="D202" s="50" t="n"/>
      <c r="E202" s="50" t="n"/>
      <c r="F202" s="50" t="n"/>
      <c r="G202" s="50" t="n"/>
      <c r="H202" s="50" t="n"/>
      <c r="I202" s="50" t="n"/>
      <c r="J202" s="50" t="n"/>
      <c r="K202" s="51" t="n"/>
      <c r="L202" s="51" t="n"/>
      <c r="M202" s="51" t="n"/>
      <c r="N202" s="50" t="n"/>
      <c r="O202" s="49">
        <f>IF($E202="","",IFERROR(INDEX(Tipos!$C$5:$C$51,MATCH($E202,Tipos!$A$5:$A$51,0)),"Tipo não encontrado"))</f>
        <v/>
      </c>
      <c r="P202" s="49">
        <f>IF($E202="","",IFERROR(INDEX(Tipos!$D$5:$D$51,MATCH($E202,Tipos!$A$5:$A$51,0)),""))</f>
        <v/>
      </c>
      <c r="Q202" s="49">
        <f>IF(COUNTA($B202:$F202)=0,"",IF($B202="","Falta Área",IF($C202="","Falta Setor",IF($D202="","Falta Equipamento",IF($E202="","Falta Tipo",IF($F202="","Falta Categoria",IF(COUNTIF($D$4:$D$303,$D202)&gt;1,"Nome repetido: diferencie (01, 02…)",IF(AND(ISNUMBER(SEARCH("Temperatura",$P202)),OR($L202="",$M202="")),"Falta faixa de temperatura",IF(AND(ISNUMBER($L202),ISNUMBER($M202),$L202&gt;$M202),"Temp. mínima maior que a máxima","OK")))))))))</f>
        <v/>
      </c>
      <c r="R202" s="49">
        <f>IF($E202="","",IFERROR(INDEX(Tipos!$B$5:$B$51,MATCH($E202,Tipos!$A$5:$A$51,0)),""))</f>
        <v/>
      </c>
    </row>
    <row r="203" ht="15" customHeight="1" s="33">
      <c r="A203" s="50" t="inlineStr">
        <is>
          <t>RioMar Recife</t>
        </is>
      </c>
      <c r="B203" s="50" t="n"/>
      <c r="C203" s="50" t="n"/>
      <c r="D203" s="50" t="n"/>
      <c r="E203" s="50" t="n"/>
      <c r="F203" s="50" t="n"/>
      <c r="G203" s="50" t="n"/>
      <c r="H203" s="50" t="n"/>
      <c r="I203" s="50" t="n"/>
      <c r="J203" s="50" t="n"/>
      <c r="K203" s="51" t="n"/>
      <c r="L203" s="51" t="n"/>
      <c r="M203" s="51" t="n"/>
      <c r="N203" s="50" t="n"/>
      <c r="O203" s="49">
        <f>IF($E203="","",IFERROR(INDEX(Tipos!$C$5:$C$51,MATCH($E203,Tipos!$A$5:$A$51,0)),"Tipo não encontrado"))</f>
        <v/>
      </c>
      <c r="P203" s="49">
        <f>IF($E203="","",IFERROR(INDEX(Tipos!$D$5:$D$51,MATCH($E203,Tipos!$A$5:$A$51,0)),""))</f>
        <v/>
      </c>
      <c r="Q203" s="49">
        <f>IF(COUNTA($B203:$F203)=0,"",IF($B203="","Falta Área",IF($C203="","Falta Setor",IF($D203="","Falta Equipamento",IF($E203="","Falta Tipo",IF($F203="","Falta Categoria",IF(COUNTIF($D$4:$D$303,$D203)&gt;1,"Nome repetido: diferencie (01, 02…)",IF(AND(ISNUMBER(SEARCH("Temperatura",$P203)),OR($L203="",$M203="")),"Falta faixa de temperatura",IF(AND(ISNUMBER($L203),ISNUMBER($M203),$L203&gt;$M203),"Temp. mínima maior que a máxima","OK")))))))))</f>
        <v/>
      </c>
      <c r="R203" s="49">
        <f>IF($E203="","",IFERROR(INDEX(Tipos!$B$5:$B$51,MATCH($E203,Tipos!$A$5:$A$51,0)),""))</f>
        <v/>
      </c>
    </row>
    <row r="204" ht="15" customHeight="1" s="33">
      <c r="A204" s="50" t="inlineStr">
        <is>
          <t>RioMar Recife</t>
        </is>
      </c>
      <c r="B204" s="50" t="n"/>
      <c r="C204" s="50" t="n"/>
      <c r="D204" s="50" t="n"/>
      <c r="E204" s="50" t="n"/>
      <c r="F204" s="50" t="n"/>
      <c r="G204" s="50" t="n"/>
      <c r="H204" s="50" t="n"/>
      <c r="I204" s="50" t="n"/>
      <c r="J204" s="50" t="n"/>
      <c r="K204" s="51" t="n"/>
      <c r="L204" s="51" t="n"/>
      <c r="M204" s="51" t="n"/>
      <c r="N204" s="50" t="n"/>
      <c r="O204" s="49">
        <f>IF($E204="","",IFERROR(INDEX(Tipos!$C$5:$C$51,MATCH($E204,Tipos!$A$5:$A$51,0)),"Tipo não encontrado"))</f>
        <v/>
      </c>
      <c r="P204" s="49">
        <f>IF($E204="","",IFERROR(INDEX(Tipos!$D$5:$D$51,MATCH($E204,Tipos!$A$5:$A$51,0)),""))</f>
        <v/>
      </c>
      <c r="Q204" s="49">
        <f>IF(COUNTA($B204:$F204)=0,"",IF($B204="","Falta Área",IF($C204="","Falta Setor",IF($D204="","Falta Equipamento",IF($E204="","Falta Tipo",IF($F204="","Falta Categoria",IF(COUNTIF($D$4:$D$303,$D204)&gt;1,"Nome repetido: diferencie (01, 02…)",IF(AND(ISNUMBER(SEARCH("Temperatura",$P204)),OR($L204="",$M204="")),"Falta faixa de temperatura",IF(AND(ISNUMBER($L204),ISNUMBER($M204),$L204&gt;$M204),"Temp. mínima maior que a máxima","OK")))))))))</f>
        <v/>
      </c>
      <c r="R204" s="49">
        <f>IF($E204="","",IFERROR(INDEX(Tipos!$B$5:$B$51,MATCH($E204,Tipos!$A$5:$A$51,0)),""))</f>
        <v/>
      </c>
    </row>
    <row r="205" ht="15" customHeight="1" s="33">
      <c r="A205" s="50" t="inlineStr">
        <is>
          <t>RioMar Recife</t>
        </is>
      </c>
      <c r="B205" s="50" t="n"/>
      <c r="C205" s="50" t="n"/>
      <c r="D205" s="50" t="n"/>
      <c r="E205" s="50" t="n"/>
      <c r="F205" s="50" t="n"/>
      <c r="G205" s="50" t="n"/>
      <c r="H205" s="50" t="n"/>
      <c r="I205" s="50" t="n"/>
      <c r="J205" s="50" t="n"/>
      <c r="K205" s="51" t="n"/>
      <c r="L205" s="51" t="n"/>
      <c r="M205" s="51" t="n"/>
      <c r="N205" s="50" t="n"/>
      <c r="O205" s="49">
        <f>IF($E205="","",IFERROR(INDEX(Tipos!$C$5:$C$51,MATCH($E205,Tipos!$A$5:$A$51,0)),"Tipo não encontrado"))</f>
        <v/>
      </c>
      <c r="P205" s="49">
        <f>IF($E205="","",IFERROR(INDEX(Tipos!$D$5:$D$51,MATCH($E205,Tipos!$A$5:$A$51,0)),""))</f>
        <v/>
      </c>
      <c r="Q205" s="49">
        <f>IF(COUNTA($B205:$F205)=0,"",IF($B205="","Falta Área",IF($C205="","Falta Setor",IF($D205="","Falta Equipamento",IF($E205="","Falta Tipo",IF($F205="","Falta Categoria",IF(COUNTIF($D$4:$D$303,$D205)&gt;1,"Nome repetido: diferencie (01, 02…)",IF(AND(ISNUMBER(SEARCH("Temperatura",$P205)),OR($L205="",$M205="")),"Falta faixa de temperatura",IF(AND(ISNUMBER($L205),ISNUMBER($M205),$L205&gt;$M205),"Temp. mínima maior que a máxima","OK")))))))))</f>
        <v/>
      </c>
      <c r="R205" s="49">
        <f>IF($E205="","",IFERROR(INDEX(Tipos!$B$5:$B$51,MATCH($E205,Tipos!$A$5:$A$51,0)),""))</f>
        <v/>
      </c>
    </row>
    <row r="206" ht="15" customHeight="1" s="33">
      <c r="A206" s="50" t="inlineStr">
        <is>
          <t>RioMar Recife</t>
        </is>
      </c>
      <c r="B206" s="50" t="n"/>
      <c r="C206" s="50" t="n"/>
      <c r="D206" s="50" t="n"/>
      <c r="E206" s="50" t="n"/>
      <c r="F206" s="50" t="n"/>
      <c r="G206" s="50" t="n"/>
      <c r="H206" s="50" t="n"/>
      <c r="I206" s="50" t="n"/>
      <c r="J206" s="50" t="n"/>
      <c r="K206" s="51" t="n"/>
      <c r="L206" s="51" t="n"/>
      <c r="M206" s="51" t="n"/>
      <c r="N206" s="50" t="n"/>
      <c r="O206" s="49">
        <f>IF($E206="","",IFERROR(INDEX(Tipos!$C$5:$C$51,MATCH($E206,Tipos!$A$5:$A$51,0)),"Tipo não encontrado"))</f>
        <v/>
      </c>
      <c r="P206" s="49">
        <f>IF($E206="","",IFERROR(INDEX(Tipos!$D$5:$D$51,MATCH($E206,Tipos!$A$5:$A$51,0)),""))</f>
        <v/>
      </c>
      <c r="Q206" s="49">
        <f>IF(COUNTA($B206:$F206)=0,"",IF($B206="","Falta Área",IF($C206="","Falta Setor",IF($D206="","Falta Equipamento",IF($E206="","Falta Tipo",IF($F206="","Falta Categoria",IF(COUNTIF($D$4:$D$303,$D206)&gt;1,"Nome repetido: diferencie (01, 02…)",IF(AND(ISNUMBER(SEARCH("Temperatura",$P206)),OR($L206="",$M206="")),"Falta faixa de temperatura",IF(AND(ISNUMBER($L206),ISNUMBER($M206),$L206&gt;$M206),"Temp. mínima maior que a máxima","OK")))))))))</f>
        <v/>
      </c>
      <c r="R206" s="49">
        <f>IF($E206="","",IFERROR(INDEX(Tipos!$B$5:$B$51,MATCH($E206,Tipos!$A$5:$A$51,0)),""))</f>
        <v/>
      </c>
    </row>
    <row r="207" ht="15" customHeight="1" s="33">
      <c r="A207" s="50" t="inlineStr">
        <is>
          <t>RioMar Recife</t>
        </is>
      </c>
      <c r="B207" s="50" t="n"/>
      <c r="C207" s="50" t="n"/>
      <c r="D207" s="50" t="n"/>
      <c r="E207" s="50" t="n"/>
      <c r="F207" s="50" t="n"/>
      <c r="G207" s="50" t="n"/>
      <c r="H207" s="50" t="n"/>
      <c r="I207" s="50" t="n"/>
      <c r="J207" s="50" t="n"/>
      <c r="K207" s="51" t="n"/>
      <c r="L207" s="51" t="n"/>
      <c r="M207" s="51" t="n"/>
      <c r="N207" s="50" t="n"/>
      <c r="O207" s="49">
        <f>IF($E207="","",IFERROR(INDEX(Tipos!$C$5:$C$51,MATCH($E207,Tipos!$A$5:$A$51,0)),"Tipo não encontrado"))</f>
        <v/>
      </c>
      <c r="P207" s="49">
        <f>IF($E207="","",IFERROR(INDEX(Tipos!$D$5:$D$51,MATCH($E207,Tipos!$A$5:$A$51,0)),""))</f>
        <v/>
      </c>
      <c r="Q207" s="49">
        <f>IF(COUNTA($B207:$F207)=0,"",IF($B207="","Falta Área",IF($C207="","Falta Setor",IF($D207="","Falta Equipamento",IF($E207="","Falta Tipo",IF($F207="","Falta Categoria",IF(COUNTIF($D$4:$D$303,$D207)&gt;1,"Nome repetido: diferencie (01, 02…)",IF(AND(ISNUMBER(SEARCH("Temperatura",$P207)),OR($L207="",$M207="")),"Falta faixa de temperatura",IF(AND(ISNUMBER($L207),ISNUMBER($M207),$L207&gt;$M207),"Temp. mínima maior que a máxima","OK")))))))))</f>
        <v/>
      </c>
      <c r="R207" s="49">
        <f>IF($E207="","",IFERROR(INDEX(Tipos!$B$5:$B$51,MATCH($E207,Tipos!$A$5:$A$51,0)),""))</f>
        <v/>
      </c>
    </row>
    <row r="208" ht="15" customHeight="1" s="33">
      <c r="A208" s="50" t="inlineStr">
        <is>
          <t>RioMar Recife</t>
        </is>
      </c>
      <c r="B208" s="50" t="n"/>
      <c r="C208" s="50" t="n"/>
      <c r="D208" s="50" t="n"/>
      <c r="E208" s="50" t="n"/>
      <c r="F208" s="50" t="n"/>
      <c r="G208" s="50" t="n"/>
      <c r="H208" s="50" t="n"/>
      <c r="I208" s="50" t="n"/>
      <c r="J208" s="50" t="n"/>
      <c r="K208" s="51" t="n"/>
      <c r="L208" s="51" t="n"/>
      <c r="M208" s="51" t="n"/>
      <c r="N208" s="50" t="n"/>
      <c r="O208" s="49">
        <f>IF($E208="","",IFERROR(INDEX(Tipos!$C$5:$C$51,MATCH($E208,Tipos!$A$5:$A$51,0)),"Tipo não encontrado"))</f>
        <v/>
      </c>
      <c r="P208" s="49">
        <f>IF($E208="","",IFERROR(INDEX(Tipos!$D$5:$D$51,MATCH($E208,Tipos!$A$5:$A$51,0)),""))</f>
        <v/>
      </c>
      <c r="Q208" s="49">
        <f>IF(COUNTA($B208:$F208)=0,"",IF($B208="","Falta Área",IF($C208="","Falta Setor",IF($D208="","Falta Equipamento",IF($E208="","Falta Tipo",IF($F208="","Falta Categoria",IF(COUNTIF($D$4:$D$303,$D208)&gt;1,"Nome repetido: diferencie (01, 02…)",IF(AND(ISNUMBER(SEARCH("Temperatura",$P208)),OR($L208="",$M208="")),"Falta faixa de temperatura",IF(AND(ISNUMBER($L208),ISNUMBER($M208),$L208&gt;$M208),"Temp. mínima maior que a máxima","OK")))))))))</f>
        <v/>
      </c>
      <c r="R208" s="49">
        <f>IF($E208="","",IFERROR(INDEX(Tipos!$B$5:$B$51,MATCH($E208,Tipos!$A$5:$A$51,0)),""))</f>
        <v/>
      </c>
    </row>
    <row r="209" ht="15" customHeight="1" s="33">
      <c r="A209" s="50" t="inlineStr">
        <is>
          <t>RioMar Recife</t>
        </is>
      </c>
      <c r="B209" s="50" t="n"/>
      <c r="C209" s="50" t="n"/>
      <c r="D209" s="50" t="n"/>
      <c r="E209" s="50" t="n"/>
      <c r="F209" s="50" t="n"/>
      <c r="G209" s="50" t="n"/>
      <c r="H209" s="50" t="n"/>
      <c r="I209" s="50" t="n"/>
      <c r="J209" s="50" t="n"/>
      <c r="K209" s="51" t="n"/>
      <c r="L209" s="51" t="n"/>
      <c r="M209" s="51" t="n"/>
      <c r="N209" s="50" t="n"/>
      <c r="O209" s="49">
        <f>IF($E209="","",IFERROR(INDEX(Tipos!$C$5:$C$51,MATCH($E209,Tipos!$A$5:$A$51,0)),"Tipo não encontrado"))</f>
        <v/>
      </c>
      <c r="P209" s="49">
        <f>IF($E209="","",IFERROR(INDEX(Tipos!$D$5:$D$51,MATCH($E209,Tipos!$A$5:$A$51,0)),""))</f>
        <v/>
      </c>
      <c r="Q209" s="49">
        <f>IF(COUNTA($B209:$F209)=0,"",IF($B209="","Falta Área",IF($C209="","Falta Setor",IF($D209="","Falta Equipamento",IF($E209="","Falta Tipo",IF($F209="","Falta Categoria",IF(COUNTIF($D$4:$D$303,$D209)&gt;1,"Nome repetido: diferencie (01, 02…)",IF(AND(ISNUMBER(SEARCH("Temperatura",$P209)),OR($L209="",$M209="")),"Falta faixa de temperatura",IF(AND(ISNUMBER($L209),ISNUMBER($M209),$L209&gt;$M209),"Temp. mínima maior que a máxima","OK")))))))))</f>
        <v/>
      </c>
      <c r="R209" s="49">
        <f>IF($E209="","",IFERROR(INDEX(Tipos!$B$5:$B$51,MATCH($E209,Tipos!$A$5:$A$51,0)),""))</f>
        <v/>
      </c>
    </row>
    <row r="210" ht="15" customHeight="1" s="33">
      <c r="A210" s="50" t="inlineStr">
        <is>
          <t>RioMar Recife</t>
        </is>
      </c>
      <c r="B210" s="50" t="n"/>
      <c r="C210" s="50" t="n"/>
      <c r="D210" s="50" t="n"/>
      <c r="E210" s="50" t="n"/>
      <c r="F210" s="50" t="n"/>
      <c r="G210" s="50" t="n"/>
      <c r="H210" s="50" t="n"/>
      <c r="I210" s="50" t="n"/>
      <c r="J210" s="50" t="n"/>
      <c r="K210" s="51" t="n"/>
      <c r="L210" s="51" t="n"/>
      <c r="M210" s="51" t="n"/>
      <c r="N210" s="50" t="n"/>
      <c r="O210" s="49">
        <f>IF($E210="","",IFERROR(INDEX(Tipos!$C$5:$C$51,MATCH($E210,Tipos!$A$5:$A$51,0)),"Tipo não encontrado"))</f>
        <v/>
      </c>
      <c r="P210" s="49">
        <f>IF($E210="","",IFERROR(INDEX(Tipos!$D$5:$D$51,MATCH($E210,Tipos!$A$5:$A$51,0)),""))</f>
        <v/>
      </c>
      <c r="Q210" s="49">
        <f>IF(COUNTA($B210:$F210)=0,"",IF($B210="","Falta Área",IF($C210="","Falta Setor",IF($D210="","Falta Equipamento",IF($E210="","Falta Tipo",IF($F210="","Falta Categoria",IF(COUNTIF($D$4:$D$303,$D210)&gt;1,"Nome repetido: diferencie (01, 02…)",IF(AND(ISNUMBER(SEARCH("Temperatura",$P210)),OR($L210="",$M210="")),"Falta faixa de temperatura",IF(AND(ISNUMBER($L210),ISNUMBER($M210),$L210&gt;$M210),"Temp. mínima maior que a máxima","OK")))))))))</f>
        <v/>
      </c>
      <c r="R210" s="49">
        <f>IF($E210="","",IFERROR(INDEX(Tipos!$B$5:$B$51,MATCH($E210,Tipos!$A$5:$A$51,0)),""))</f>
        <v/>
      </c>
    </row>
    <row r="211" ht="15" customHeight="1" s="33">
      <c r="A211" s="50" t="inlineStr">
        <is>
          <t>RioMar Recife</t>
        </is>
      </c>
      <c r="B211" s="50" t="n"/>
      <c r="C211" s="50" t="n"/>
      <c r="D211" s="50" t="n"/>
      <c r="E211" s="50" t="n"/>
      <c r="F211" s="50" t="n"/>
      <c r="G211" s="50" t="n"/>
      <c r="H211" s="50" t="n"/>
      <c r="I211" s="50" t="n"/>
      <c r="J211" s="50" t="n"/>
      <c r="K211" s="51" t="n"/>
      <c r="L211" s="51" t="n"/>
      <c r="M211" s="51" t="n"/>
      <c r="N211" s="50" t="n"/>
      <c r="O211" s="49">
        <f>IF($E211="","",IFERROR(INDEX(Tipos!$C$5:$C$51,MATCH($E211,Tipos!$A$5:$A$51,0)),"Tipo não encontrado"))</f>
        <v/>
      </c>
      <c r="P211" s="49">
        <f>IF($E211="","",IFERROR(INDEX(Tipos!$D$5:$D$51,MATCH($E211,Tipos!$A$5:$A$51,0)),""))</f>
        <v/>
      </c>
      <c r="Q211" s="49">
        <f>IF(COUNTA($B211:$F211)=0,"",IF($B211="","Falta Área",IF($C211="","Falta Setor",IF($D211="","Falta Equipamento",IF($E211="","Falta Tipo",IF($F211="","Falta Categoria",IF(COUNTIF($D$4:$D$303,$D211)&gt;1,"Nome repetido: diferencie (01, 02…)",IF(AND(ISNUMBER(SEARCH("Temperatura",$P211)),OR($L211="",$M211="")),"Falta faixa de temperatura",IF(AND(ISNUMBER($L211),ISNUMBER($M211),$L211&gt;$M211),"Temp. mínima maior que a máxima","OK")))))))))</f>
        <v/>
      </c>
      <c r="R211" s="49">
        <f>IF($E211="","",IFERROR(INDEX(Tipos!$B$5:$B$51,MATCH($E211,Tipos!$A$5:$A$51,0)),""))</f>
        <v/>
      </c>
    </row>
    <row r="212" ht="15" customHeight="1" s="33">
      <c r="A212" s="50" t="inlineStr">
        <is>
          <t>RioMar Recife</t>
        </is>
      </c>
      <c r="B212" s="50" t="n"/>
      <c r="C212" s="50" t="n"/>
      <c r="D212" s="50" t="n"/>
      <c r="E212" s="50" t="n"/>
      <c r="F212" s="50" t="n"/>
      <c r="G212" s="50" t="n"/>
      <c r="H212" s="50" t="n"/>
      <c r="I212" s="50" t="n"/>
      <c r="J212" s="50" t="n"/>
      <c r="K212" s="51" t="n"/>
      <c r="L212" s="51" t="n"/>
      <c r="M212" s="51" t="n"/>
      <c r="N212" s="50" t="n"/>
      <c r="O212" s="49">
        <f>IF($E212="","",IFERROR(INDEX(Tipos!$C$5:$C$51,MATCH($E212,Tipos!$A$5:$A$51,0)),"Tipo não encontrado"))</f>
        <v/>
      </c>
      <c r="P212" s="49">
        <f>IF($E212="","",IFERROR(INDEX(Tipos!$D$5:$D$51,MATCH($E212,Tipos!$A$5:$A$51,0)),""))</f>
        <v/>
      </c>
      <c r="Q212" s="49">
        <f>IF(COUNTA($B212:$F212)=0,"",IF($B212="","Falta Área",IF($C212="","Falta Setor",IF($D212="","Falta Equipamento",IF($E212="","Falta Tipo",IF($F212="","Falta Categoria",IF(COUNTIF($D$4:$D$303,$D212)&gt;1,"Nome repetido: diferencie (01, 02…)",IF(AND(ISNUMBER(SEARCH("Temperatura",$P212)),OR($L212="",$M212="")),"Falta faixa de temperatura",IF(AND(ISNUMBER($L212),ISNUMBER($M212),$L212&gt;$M212),"Temp. mínima maior que a máxima","OK")))))))))</f>
        <v/>
      </c>
      <c r="R212" s="49">
        <f>IF($E212="","",IFERROR(INDEX(Tipos!$B$5:$B$51,MATCH($E212,Tipos!$A$5:$A$51,0)),""))</f>
        <v/>
      </c>
    </row>
    <row r="213" ht="15" customHeight="1" s="33">
      <c r="A213" s="50" t="inlineStr">
        <is>
          <t>RioMar Recife</t>
        </is>
      </c>
      <c r="B213" s="50" t="n"/>
      <c r="C213" s="50" t="n"/>
      <c r="D213" s="50" t="n"/>
      <c r="E213" s="50" t="n"/>
      <c r="F213" s="50" t="n"/>
      <c r="G213" s="50" t="n"/>
      <c r="H213" s="50" t="n"/>
      <c r="I213" s="50" t="n"/>
      <c r="J213" s="50" t="n"/>
      <c r="K213" s="51" t="n"/>
      <c r="L213" s="51" t="n"/>
      <c r="M213" s="51" t="n"/>
      <c r="N213" s="50" t="n"/>
      <c r="O213" s="49">
        <f>IF($E213="","",IFERROR(INDEX(Tipos!$C$5:$C$51,MATCH($E213,Tipos!$A$5:$A$51,0)),"Tipo não encontrado"))</f>
        <v/>
      </c>
      <c r="P213" s="49">
        <f>IF($E213="","",IFERROR(INDEX(Tipos!$D$5:$D$51,MATCH($E213,Tipos!$A$5:$A$51,0)),""))</f>
        <v/>
      </c>
      <c r="Q213" s="49">
        <f>IF(COUNTA($B213:$F213)=0,"",IF($B213="","Falta Área",IF($C213="","Falta Setor",IF($D213="","Falta Equipamento",IF($E213="","Falta Tipo",IF($F213="","Falta Categoria",IF(COUNTIF($D$4:$D$303,$D213)&gt;1,"Nome repetido: diferencie (01, 02…)",IF(AND(ISNUMBER(SEARCH("Temperatura",$P213)),OR($L213="",$M213="")),"Falta faixa de temperatura",IF(AND(ISNUMBER($L213),ISNUMBER($M213),$L213&gt;$M213),"Temp. mínima maior que a máxima","OK")))))))))</f>
        <v/>
      </c>
      <c r="R213" s="49">
        <f>IF($E213="","",IFERROR(INDEX(Tipos!$B$5:$B$51,MATCH($E213,Tipos!$A$5:$A$51,0)),""))</f>
        <v/>
      </c>
    </row>
    <row r="214" ht="15" customHeight="1" s="33">
      <c r="A214" s="50" t="inlineStr">
        <is>
          <t>RioMar Recife</t>
        </is>
      </c>
      <c r="B214" s="50" t="n"/>
      <c r="C214" s="50" t="n"/>
      <c r="D214" s="50" t="n"/>
      <c r="E214" s="50" t="n"/>
      <c r="F214" s="50" t="n"/>
      <c r="G214" s="50" t="n"/>
      <c r="H214" s="50" t="n"/>
      <c r="I214" s="50" t="n"/>
      <c r="J214" s="50" t="n"/>
      <c r="K214" s="51" t="n"/>
      <c r="L214" s="51" t="n"/>
      <c r="M214" s="51" t="n"/>
      <c r="N214" s="50" t="n"/>
      <c r="O214" s="49">
        <f>IF($E214="","",IFERROR(INDEX(Tipos!$C$5:$C$51,MATCH($E214,Tipos!$A$5:$A$51,0)),"Tipo não encontrado"))</f>
        <v/>
      </c>
      <c r="P214" s="49">
        <f>IF($E214="","",IFERROR(INDEX(Tipos!$D$5:$D$51,MATCH($E214,Tipos!$A$5:$A$51,0)),""))</f>
        <v/>
      </c>
      <c r="Q214" s="49">
        <f>IF(COUNTA($B214:$F214)=0,"",IF($B214="","Falta Área",IF($C214="","Falta Setor",IF($D214="","Falta Equipamento",IF($E214="","Falta Tipo",IF($F214="","Falta Categoria",IF(COUNTIF($D$4:$D$303,$D214)&gt;1,"Nome repetido: diferencie (01, 02…)",IF(AND(ISNUMBER(SEARCH("Temperatura",$P214)),OR($L214="",$M214="")),"Falta faixa de temperatura",IF(AND(ISNUMBER($L214),ISNUMBER($M214),$L214&gt;$M214),"Temp. mínima maior que a máxima","OK")))))))))</f>
        <v/>
      </c>
      <c r="R214" s="49">
        <f>IF($E214="","",IFERROR(INDEX(Tipos!$B$5:$B$51,MATCH($E214,Tipos!$A$5:$A$51,0)),""))</f>
        <v/>
      </c>
    </row>
    <row r="215" ht="15" customHeight="1" s="33">
      <c r="A215" s="50" t="inlineStr">
        <is>
          <t>RioMar Recife</t>
        </is>
      </c>
      <c r="B215" s="50" t="n"/>
      <c r="C215" s="50" t="n"/>
      <c r="D215" s="50" t="n"/>
      <c r="E215" s="50" t="n"/>
      <c r="F215" s="50" t="n"/>
      <c r="G215" s="50" t="n"/>
      <c r="H215" s="50" t="n"/>
      <c r="I215" s="50" t="n"/>
      <c r="J215" s="50" t="n"/>
      <c r="K215" s="51" t="n"/>
      <c r="L215" s="51" t="n"/>
      <c r="M215" s="51" t="n"/>
      <c r="N215" s="50" t="n"/>
      <c r="O215" s="49">
        <f>IF($E215="","",IFERROR(INDEX(Tipos!$C$5:$C$51,MATCH($E215,Tipos!$A$5:$A$51,0)),"Tipo não encontrado"))</f>
        <v/>
      </c>
      <c r="P215" s="49">
        <f>IF($E215="","",IFERROR(INDEX(Tipos!$D$5:$D$51,MATCH($E215,Tipos!$A$5:$A$51,0)),""))</f>
        <v/>
      </c>
      <c r="Q215" s="49">
        <f>IF(COUNTA($B215:$F215)=0,"",IF($B215="","Falta Área",IF($C215="","Falta Setor",IF($D215="","Falta Equipamento",IF($E215="","Falta Tipo",IF($F215="","Falta Categoria",IF(COUNTIF($D$4:$D$303,$D215)&gt;1,"Nome repetido: diferencie (01, 02…)",IF(AND(ISNUMBER(SEARCH("Temperatura",$P215)),OR($L215="",$M215="")),"Falta faixa de temperatura",IF(AND(ISNUMBER($L215),ISNUMBER($M215),$L215&gt;$M215),"Temp. mínima maior que a máxima","OK")))))))))</f>
        <v/>
      </c>
      <c r="R215" s="49">
        <f>IF($E215="","",IFERROR(INDEX(Tipos!$B$5:$B$51,MATCH($E215,Tipos!$A$5:$A$51,0)),""))</f>
        <v/>
      </c>
    </row>
    <row r="216" ht="15" customHeight="1" s="33">
      <c r="A216" s="50" t="inlineStr">
        <is>
          <t>RioMar Recife</t>
        </is>
      </c>
      <c r="B216" s="50" t="n"/>
      <c r="C216" s="50" t="n"/>
      <c r="D216" s="50" t="n"/>
      <c r="E216" s="50" t="n"/>
      <c r="F216" s="50" t="n"/>
      <c r="G216" s="50" t="n"/>
      <c r="H216" s="50" t="n"/>
      <c r="I216" s="50" t="n"/>
      <c r="J216" s="50" t="n"/>
      <c r="K216" s="51" t="n"/>
      <c r="L216" s="51" t="n"/>
      <c r="M216" s="51" t="n"/>
      <c r="N216" s="50" t="n"/>
      <c r="O216" s="49">
        <f>IF($E216="","",IFERROR(INDEX(Tipos!$C$5:$C$51,MATCH($E216,Tipos!$A$5:$A$51,0)),"Tipo não encontrado"))</f>
        <v/>
      </c>
      <c r="P216" s="49">
        <f>IF($E216="","",IFERROR(INDEX(Tipos!$D$5:$D$51,MATCH($E216,Tipos!$A$5:$A$51,0)),""))</f>
        <v/>
      </c>
      <c r="Q216" s="49">
        <f>IF(COUNTA($B216:$F216)=0,"",IF($B216="","Falta Área",IF($C216="","Falta Setor",IF($D216="","Falta Equipamento",IF($E216="","Falta Tipo",IF($F216="","Falta Categoria",IF(COUNTIF($D$4:$D$303,$D216)&gt;1,"Nome repetido: diferencie (01, 02…)",IF(AND(ISNUMBER(SEARCH("Temperatura",$P216)),OR($L216="",$M216="")),"Falta faixa de temperatura",IF(AND(ISNUMBER($L216),ISNUMBER($M216),$L216&gt;$M216),"Temp. mínima maior que a máxima","OK")))))))))</f>
        <v/>
      </c>
      <c r="R216" s="49">
        <f>IF($E216="","",IFERROR(INDEX(Tipos!$B$5:$B$51,MATCH($E216,Tipos!$A$5:$A$51,0)),""))</f>
        <v/>
      </c>
    </row>
    <row r="217" ht="15" customHeight="1" s="33">
      <c r="A217" s="50" t="inlineStr">
        <is>
          <t>RioMar Recife</t>
        </is>
      </c>
      <c r="B217" s="50" t="n"/>
      <c r="C217" s="50" t="n"/>
      <c r="D217" s="50" t="n"/>
      <c r="E217" s="50" t="n"/>
      <c r="F217" s="50" t="n"/>
      <c r="G217" s="50" t="n"/>
      <c r="H217" s="50" t="n"/>
      <c r="I217" s="50" t="n"/>
      <c r="J217" s="50" t="n"/>
      <c r="K217" s="51" t="n"/>
      <c r="L217" s="51" t="n"/>
      <c r="M217" s="51" t="n"/>
      <c r="N217" s="50" t="n"/>
      <c r="O217" s="49">
        <f>IF($E217="","",IFERROR(INDEX(Tipos!$C$5:$C$51,MATCH($E217,Tipos!$A$5:$A$51,0)),"Tipo não encontrado"))</f>
        <v/>
      </c>
      <c r="P217" s="49">
        <f>IF($E217="","",IFERROR(INDEX(Tipos!$D$5:$D$51,MATCH($E217,Tipos!$A$5:$A$51,0)),""))</f>
        <v/>
      </c>
      <c r="Q217" s="49">
        <f>IF(COUNTA($B217:$F217)=0,"",IF($B217="","Falta Área",IF($C217="","Falta Setor",IF($D217="","Falta Equipamento",IF($E217="","Falta Tipo",IF($F217="","Falta Categoria",IF(COUNTIF($D$4:$D$303,$D217)&gt;1,"Nome repetido: diferencie (01, 02…)",IF(AND(ISNUMBER(SEARCH("Temperatura",$P217)),OR($L217="",$M217="")),"Falta faixa de temperatura",IF(AND(ISNUMBER($L217),ISNUMBER($M217),$L217&gt;$M217),"Temp. mínima maior que a máxima","OK")))))))))</f>
        <v/>
      </c>
      <c r="R217" s="49">
        <f>IF($E217="","",IFERROR(INDEX(Tipos!$B$5:$B$51,MATCH($E217,Tipos!$A$5:$A$51,0)),""))</f>
        <v/>
      </c>
    </row>
    <row r="218" ht="15" customHeight="1" s="33">
      <c r="A218" s="50" t="inlineStr">
        <is>
          <t>RioMar Recife</t>
        </is>
      </c>
      <c r="B218" s="50" t="n"/>
      <c r="C218" s="50" t="n"/>
      <c r="D218" s="50" t="n"/>
      <c r="E218" s="50" t="n"/>
      <c r="F218" s="50" t="n"/>
      <c r="G218" s="50" t="n"/>
      <c r="H218" s="50" t="n"/>
      <c r="I218" s="50" t="n"/>
      <c r="J218" s="50" t="n"/>
      <c r="K218" s="51" t="n"/>
      <c r="L218" s="51" t="n"/>
      <c r="M218" s="51" t="n"/>
      <c r="N218" s="50" t="n"/>
      <c r="O218" s="49">
        <f>IF($E218="","",IFERROR(INDEX(Tipos!$C$5:$C$51,MATCH($E218,Tipos!$A$5:$A$51,0)),"Tipo não encontrado"))</f>
        <v/>
      </c>
      <c r="P218" s="49">
        <f>IF($E218="","",IFERROR(INDEX(Tipos!$D$5:$D$51,MATCH($E218,Tipos!$A$5:$A$51,0)),""))</f>
        <v/>
      </c>
      <c r="Q218" s="49">
        <f>IF(COUNTA($B218:$F218)=0,"",IF($B218="","Falta Área",IF($C218="","Falta Setor",IF($D218="","Falta Equipamento",IF($E218="","Falta Tipo",IF($F218="","Falta Categoria",IF(COUNTIF($D$4:$D$303,$D218)&gt;1,"Nome repetido: diferencie (01, 02…)",IF(AND(ISNUMBER(SEARCH("Temperatura",$P218)),OR($L218="",$M218="")),"Falta faixa de temperatura",IF(AND(ISNUMBER($L218),ISNUMBER($M218),$L218&gt;$M218),"Temp. mínima maior que a máxima","OK")))))))))</f>
        <v/>
      </c>
      <c r="R218" s="49">
        <f>IF($E218="","",IFERROR(INDEX(Tipos!$B$5:$B$51,MATCH($E218,Tipos!$A$5:$A$51,0)),""))</f>
        <v/>
      </c>
    </row>
    <row r="219" ht="15" customHeight="1" s="33">
      <c r="A219" s="50" t="inlineStr">
        <is>
          <t>RioMar Recife</t>
        </is>
      </c>
      <c r="B219" s="50" t="n"/>
      <c r="C219" s="50" t="n"/>
      <c r="D219" s="50" t="n"/>
      <c r="E219" s="50" t="n"/>
      <c r="F219" s="50" t="n"/>
      <c r="G219" s="50" t="n"/>
      <c r="H219" s="50" t="n"/>
      <c r="I219" s="50" t="n"/>
      <c r="J219" s="50" t="n"/>
      <c r="K219" s="51" t="n"/>
      <c r="L219" s="51" t="n"/>
      <c r="M219" s="51" t="n"/>
      <c r="N219" s="50" t="n"/>
      <c r="O219" s="49">
        <f>IF($E219="","",IFERROR(INDEX(Tipos!$C$5:$C$51,MATCH($E219,Tipos!$A$5:$A$51,0)),"Tipo não encontrado"))</f>
        <v/>
      </c>
      <c r="P219" s="49">
        <f>IF($E219="","",IFERROR(INDEX(Tipos!$D$5:$D$51,MATCH($E219,Tipos!$A$5:$A$51,0)),""))</f>
        <v/>
      </c>
      <c r="Q219" s="49">
        <f>IF(COUNTA($B219:$F219)=0,"",IF($B219="","Falta Área",IF($C219="","Falta Setor",IF($D219="","Falta Equipamento",IF($E219="","Falta Tipo",IF($F219="","Falta Categoria",IF(COUNTIF($D$4:$D$303,$D219)&gt;1,"Nome repetido: diferencie (01, 02…)",IF(AND(ISNUMBER(SEARCH("Temperatura",$P219)),OR($L219="",$M219="")),"Falta faixa de temperatura",IF(AND(ISNUMBER($L219),ISNUMBER($M219),$L219&gt;$M219),"Temp. mínima maior que a máxima","OK")))))))))</f>
        <v/>
      </c>
      <c r="R219" s="49">
        <f>IF($E219="","",IFERROR(INDEX(Tipos!$B$5:$B$51,MATCH($E219,Tipos!$A$5:$A$51,0)),""))</f>
        <v/>
      </c>
    </row>
    <row r="220" ht="15" customHeight="1" s="33">
      <c r="A220" s="50" t="inlineStr">
        <is>
          <t>RioMar Recife</t>
        </is>
      </c>
      <c r="B220" s="50" t="n"/>
      <c r="C220" s="50" t="n"/>
      <c r="D220" s="50" t="n"/>
      <c r="E220" s="50" t="n"/>
      <c r="F220" s="50" t="n"/>
      <c r="G220" s="50" t="n"/>
      <c r="H220" s="50" t="n"/>
      <c r="I220" s="50" t="n"/>
      <c r="J220" s="50" t="n"/>
      <c r="K220" s="51" t="n"/>
      <c r="L220" s="51" t="n"/>
      <c r="M220" s="51" t="n"/>
      <c r="N220" s="50" t="n"/>
      <c r="O220" s="49">
        <f>IF($E220="","",IFERROR(INDEX(Tipos!$C$5:$C$51,MATCH($E220,Tipos!$A$5:$A$51,0)),"Tipo não encontrado"))</f>
        <v/>
      </c>
      <c r="P220" s="49">
        <f>IF($E220="","",IFERROR(INDEX(Tipos!$D$5:$D$51,MATCH($E220,Tipos!$A$5:$A$51,0)),""))</f>
        <v/>
      </c>
      <c r="Q220" s="49">
        <f>IF(COUNTA($B220:$F220)=0,"",IF($B220="","Falta Área",IF($C220="","Falta Setor",IF($D220="","Falta Equipamento",IF($E220="","Falta Tipo",IF($F220="","Falta Categoria",IF(COUNTIF($D$4:$D$303,$D220)&gt;1,"Nome repetido: diferencie (01, 02…)",IF(AND(ISNUMBER(SEARCH("Temperatura",$P220)),OR($L220="",$M220="")),"Falta faixa de temperatura",IF(AND(ISNUMBER($L220),ISNUMBER($M220),$L220&gt;$M220),"Temp. mínima maior que a máxima","OK")))))))))</f>
        <v/>
      </c>
      <c r="R220" s="49">
        <f>IF($E220="","",IFERROR(INDEX(Tipos!$B$5:$B$51,MATCH($E220,Tipos!$A$5:$A$51,0)),""))</f>
        <v/>
      </c>
    </row>
    <row r="221" ht="15" customHeight="1" s="33">
      <c r="A221" s="50" t="inlineStr">
        <is>
          <t>RioMar Recife</t>
        </is>
      </c>
      <c r="B221" s="50" t="n"/>
      <c r="C221" s="50" t="n"/>
      <c r="D221" s="50" t="n"/>
      <c r="E221" s="50" t="n"/>
      <c r="F221" s="50" t="n"/>
      <c r="G221" s="50" t="n"/>
      <c r="H221" s="50" t="n"/>
      <c r="I221" s="50" t="n"/>
      <c r="J221" s="50" t="n"/>
      <c r="K221" s="51" t="n"/>
      <c r="L221" s="51" t="n"/>
      <c r="M221" s="51" t="n"/>
      <c r="N221" s="50" t="n"/>
      <c r="O221" s="49">
        <f>IF($E221="","",IFERROR(INDEX(Tipos!$C$5:$C$51,MATCH($E221,Tipos!$A$5:$A$51,0)),"Tipo não encontrado"))</f>
        <v/>
      </c>
      <c r="P221" s="49">
        <f>IF($E221="","",IFERROR(INDEX(Tipos!$D$5:$D$51,MATCH($E221,Tipos!$A$5:$A$51,0)),""))</f>
        <v/>
      </c>
      <c r="Q221" s="49">
        <f>IF(COUNTA($B221:$F221)=0,"",IF($B221="","Falta Área",IF($C221="","Falta Setor",IF($D221="","Falta Equipamento",IF($E221="","Falta Tipo",IF($F221="","Falta Categoria",IF(COUNTIF($D$4:$D$303,$D221)&gt;1,"Nome repetido: diferencie (01, 02…)",IF(AND(ISNUMBER(SEARCH("Temperatura",$P221)),OR($L221="",$M221="")),"Falta faixa de temperatura",IF(AND(ISNUMBER($L221),ISNUMBER($M221),$L221&gt;$M221),"Temp. mínima maior que a máxima","OK")))))))))</f>
        <v/>
      </c>
      <c r="R221" s="49">
        <f>IF($E221="","",IFERROR(INDEX(Tipos!$B$5:$B$51,MATCH($E221,Tipos!$A$5:$A$51,0)),""))</f>
        <v/>
      </c>
    </row>
    <row r="222" ht="15" customHeight="1" s="33">
      <c r="A222" s="50" t="inlineStr">
        <is>
          <t>RioMar Recife</t>
        </is>
      </c>
      <c r="B222" s="50" t="n"/>
      <c r="C222" s="50" t="n"/>
      <c r="D222" s="50" t="n"/>
      <c r="E222" s="50" t="n"/>
      <c r="F222" s="50" t="n"/>
      <c r="G222" s="50" t="n"/>
      <c r="H222" s="50" t="n"/>
      <c r="I222" s="50" t="n"/>
      <c r="J222" s="50" t="n"/>
      <c r="K222" s="51" t="n"/>
      <c r="L222" s="51" t="n"/>
      <c r="M222" s="51" t="n"/>
      <c r="N222" s="50" t="n"/>
      <c r="O222" s="49">
        <f>IF($E222="","",IFERROR(INDEX(Tipos!$C$5:$C$51,MATCH($E222,Tipos!$A$5:$A$51,0)),"Tipo não encontrado"))</f>
        <v/>
      </c>
      <c r="P222" s="49">
        <f>IF($E222="","",IFERROR(INDEX(Tipos!$D$5:$D$51,MATCH($E222,Tipos!$A$5:$A$51,0)),""))</f>
        <v/>
      </c>
      <c r="Q222" s="49">
        <f>IF(COUNTA($B222:$F222)=0,"",IF($B222="","Falta Área",IF($C222="","Falta Setor",IF($D222="","Falta Equipamento",IF($E222="","Falta Tipo",IF($F222="","Falta Categoria",IF(COUNTIF($D$4:$D$303,$D222)&gt;1,"Nome repetido: diferencie (01, 02…)",IF(AND(ISNUMBER(SEARCH("Temperatura",$P222)),OR($L222="",$M222="")),"Falta faixa de temperatura",IF(AND(ISNUMBER($L222),ISNUMBER($M222),$L222&gt;$M222),"Temp. mínima maior que a máxima","OK")))))))))</f>
        <v/>
      </c>
      <c r="R222" s="49">
        <f>IF($E222="","",IFERROR(INDEX(Tipos!$B$5:$B$51,MATCH($E222,Tipos!$A$5:$A$51,0)),""))</f>
        <v/>
      </c>
    </row>
    <row r="223" ht="15" customHeight="1" s="33">
      <c r="A223" s="50" t="inlineStr">
        <is>
          <t>RioMar Recife</t>
        </is>
      </c>
      <c r="B223" s="50" t="n"/>
      <c r="C223" s="50" t="n"/>
      <c r="D223" s="50" t="n"/>
      <c r="E223" s="50" t="n"/>
      <c r="F223" s="50" t="n"/>
      <c r="G223" s="50" t="n"/>
      <c r="H223" s="50" t="n"/>
      <c r="I223" s="50" t="n"/>
      <c r="J223" s="50" t="n"/>
      <c r="K223" s="51" t="n"/>
      <c r="L223" s="51" t="n"/>
      <c r="M223" s="51" t="n"/>
      <c r="N223" s="50" t="n"/>
      <c r="O223" s="49">
        <f>IF($E223="","",IFERROR(INDEX(Tipos!$C$5:$C$51,MATCH($E223,Tipos!$A$5:$A$51,0)),"Tipo não encontrado"))</f>
        <v/>
      </c>
      <c r="P223" s="49">
        <f>IF($E223="","",IFERROR(INDEX(Tipos!$D$5:$D$51,MATCH($E223,Tipos!$A$5:$A$51,0)),""))</f>
        <v/>
      </c>
      <c r="Q223" s="49">
        <f>IF(COUNTA($B223:$F223)=0,"",IF($B223="","Falta Área",IF($C223="","Falta Setor",IF($D223="","Falta Equipamento",IF($E223="","Falta Tipo",IF($F223="","Falta Categoria",IF(COUNTIF($D$4:$D$303,$D223)&gt;1,"Nome repetido: diferencie (01, 02…)",IF(AND(ISNUMBER(SEARCH("Temperatura",$P223)),OR($L223="",$M223="")),"Falta faixa de temperatura",IF(AND(ISNUMBER($L223),ISNUMBER($M223),$L223&gt;$M223),"Temp. mínima maior que a máxima","OK")))))))))</f>
        <v/>
      </c>
      <c r="R223" s="49">
        <f>IF($E223="","",IFERROR(INDEX(Tipos!$B$5:$B$51,MATCH($E223,Tipos!$A$5:$A$51,0)),""))</f>
        <v/>
      </c>
    </row>
    <row r="224" ht="15" customHeight="1" s="33">
      <c r="A224" s="50" t="inlineStr">
        <is>
          <t>RioMar Recife</t>
        </is>
      </c>
      <c r="B224" s="50" t="n"/>
      <c r="C224" s="50" t="n"/>
      <c r="D224" s="50" t="n"/>
      <c r="E224" s="50" t="n"/>
      <c r="F224" s="50" t="n"/>
      <c r="G224" s="50" t="n"/>
      <c r="H224" s="50" t="n"/>
      <c r="I224" s="50" t="n"/>
      <c r="J224" s="50" t="n"/>
      <c r="K224" s="51" t="n"/>
      <c r="L224" s="51" t="n"/>
      <c r="M224" s="51" t="n"/>
      <c r="N224" s="50" t="n"/>
      <c r="O224" s="49">
        <f>IF($E224="","",IFERROR(INDEX(Tipos!$C$5:$C$51,MATCH($E224,Tipos!$A$5:$A$51,0)),"Tipo não encontrado"))</f>
        <v/>
      </c>
      <c r="P224" s="49">
        <f>IF($E224="","",IFERROR(INDEX(Tipos!$D$5:$D$51,MATCH($E224,Tipos!$A$5:$A$51,0)),""))</f>
        <v/>
      </c>
      <c r="Q224" s="49">
        <f>IF(COUNTA($B224:$F224)=0,"",IF($B224="","Falta Área",IF($C224="","Falta Setor",IF($D224="","Falta Equipamento",IF($E224="","Falta Tipo",IF($F224="","Falta Categoria",IF(COUNTIF($D$4:$D$303,$D224)&gt;1,"Nome repetido: diferencie (01, 02…)",IF(AND(ISNUMBER(SEARCH("Temperatura",$P224)),OR($L224="",$M224="")),"Falta faixa de temperatura",IF(AND(ISNUMBER($L224),ISNUMBER($M224),$L224&gt;$M224),"Temp. mínima maior que a máxima","OK")))))))))</f>
        <v/>
      </c>
      <c r="R224" s="49">
        <f>IF($E224="","",IFERROR(INDEX(Tipos!$B$5:$B$51,MATCH($E224,Tipos!$A$5:$A$51,0)),""))</f>
        <v/>
      </c>
    </row>
    <row r="225" ht="15" customHeight="1" s="33">
      <c r="A225" s="50" t="inlineStr">
        <is>
          <t>RioMar Recife</t>
        </is>
      </c>
      <c r="B225" s="50" t="n"/>
      <c r="C225" s="50" t="n"/>
      <c r="D225" s="50" t="n"/>
      <c r="E225" s="50" t="n"/>
      <c r="F225" s="50" t="n"/>
      <c r="G225" s="50" t="n"/>
      <c r="H225" s="50" t="n"/>
      <c r="I225" s="50" t="n"/>
      <c r="J225" s="50" t="n"/>
      <c r="K225" s="51" t="n"/>
      <c r="L225" s="51" t="n"/>
      <c r="M225" s="51" t="n"/>
      <c r="N225" s="50" t="n"/>
      <c r="O225" s="49">
        <f>IF($E225="","",IFERROR(INDEX(Tipos!$C$5:$C$51,MATCH($E225,Tipos!$A$5:$A$51,0)),"Tipo não encontrado"))</f>
        <v/>
      </c>
      <c r="P225" s="49">
        <f>IF($E225="","",IFERROR(INDEX(Tipos!$D$5:$D$51,MATCH($E225,Tipos!$A$5:$A$51,0)),""))</f>
        <v/>
      </c>
      <c r="Q225" s="49">
        <f>IF(COUNTA($B225:$F225)=0,"",IF($B225="","Falta Área",IF($C225="","Falta Setor",IF($D225="","Falta Equipamento",IF($E225="","Falta Tipo",IF($F225="","Falta Categoria",IF(COUNTIF($D$4:$D$303,$D225)&gt;1,"Nome repetido: diferencie (01, 02…)",IF(AND(ISNUMBER(SEARCH("Temperatura",$P225)),OR($L225="",$M225="")),"Falta faixa de temperatura",IF(AND(ISNUMBER($L225),ISNUMBER($M225),$L225&gt;$M225),"Temp. mínima maior que a máxima","OK")))))))))</f>
        <v/>
      </c>
      <c r="R225" s="49">
        <f>IF($E225="","",IFERROR(INDEX(Tipos!$B$5:$B$51,MATCH($E225,Tipos!$A$5:$A$51,0)),""))</f>
        <v/>
      </c>
    </row>
    <row r="226" ht="15" customHeight="1" s="33">
      <c r="A226" s="50" t="inlineStr">
        <is>
          <t>RioMar Recife</t>
        </is>
      </c>
      <c r="B226" s="50" t="n"/>
      <c r="C226" s="50" t="n"/>
      <c r="D226" s="50" t="n"/>
      <c r="E226" s="50" t="n"/>
      <c r="F226" s="50" t="n"/>
      <c r="G226" s="50" t="n"/>
      <c r="H226" s="50" t="n"/>
      <c r="I226" s="50" t="n"/>
      <c r="J226" s="50" t="n"/>
      <c r="K226" s="51" t="n"/>
      <c r="L226" s="51" t="n"/>
      <c r="M226" s="51" t="n"/>
      <c r="N226" s="50" t="n"/>
      <c r="O226" s="49">
        <f>IF($E226="","",IFERROR(INDEX(Tipos!$C$5:$C$51,MATCH($E226,Tipos!$A$5:$A$51,0)),"Tipo não encontrado"))</f>
        <v/>
      </c>
      <c r="P226" s="49">
        <f>IF($E226="","",IFERROR(INDEX(Tipos!$D$5:$D$51,MATCH($E226,Tipos!$A$5:$A$51,0)),""))</f>
        <v/>
      </c>
      <c r="Q226" s="49">
        <f>IF(COUNTA($B226:$F226)=0,"",IF($B226="","Falta Área",IF($C226="","Falta Setor",IF($D226="","Falta Equipamento",IF($E226="","Falta Tipo",IF($F226="","Falta Categoria",IF(COUNTIF($D$4:$D$303,$D226)&gt;1,"Nome repetido: diferencie (01, 02…)",IF(AND(ISNUMBER(SEARCH("Temperatura",$P226)),OR($L226="",$M226="")),"Falta faixa de temperatura",IF(AND(ISNUMBER($L226),ISNUMBER($M226),$L226&gt;$M226),"Temp. mínima maior que a máxima","OK")))))))))</f>
        <v/>
      </c>
      <c r="R226" s="49">
        <f>IF($E226="","",IFERROR(INDEX(Tipos!$B$5:$B$51,MATCH($E226,Tipos!$A$5:$A$51,0)),""))</f>
        <v/>
      </c>
    </row>
    <row r="227" ht="15" customHeight="1" s="33">
      <c r="A227" s="50" t="inlineStr">
        <is>
          <t>RioMar Recife</t>
        </is>
      </c>
      <c r="B227" s="50" t="n"/>
      <c r="C227" s="50" t="n"/>
      <c r="D227" s="50" t="n"/>
      <c r="E227" s="50" t="n"/>
      <c r="F227" s="50" t="n"/>
      <c r="G227" s="50" t="n"/>
      <c r="H227" s="50" t="n"/>
      <c r="I227" s="50" t="n"/>
      <c r="J227" s="50" t="n"/>
      <c r="K227" s="51" t="n"/>
      <c r="L227" s="51" t="n"/>
      <c r="M227" s="51" t="n"/>
      <c r="N227" s="50" t="n"/>
      <c r="O227" s="49">
        <f>IF($E227="","",IFERROR(INDEX(Tipos!$C$5:$C$51,MATCH($E227,Tipos!$A$5:$A$51,0)),"Tipo não encontrado"))</f>
        <v/>
      </c>
      <c r="P227" s="49">
        <f>IF($E227="","",IFERROR(INDEX(Tipos!$D$5:$D$51,MATCH($E227,Tipos!$A$5:$A$51,0)),""))</f>
        <v/>
      </c>
      <c r="Q227" s="49">
        <f>IF(COUNTA($B227:$F227)=0,"",IF($B227="","Falta Área",IF($C227="","Falta Setor",IF($D227="","Falta Equipamento",IF($E227="","Falta Tipo",IF($F227="","Falta Categoria",IF(COUNTIF($D$4:$D$303,$D227)&gt;1,"Nome repetido: diferencie (01, 02…)",IF(AND(ISNUMBER(SEARCH("Temperatura",$P227)),OR($L227="",$M227="")),"Falta faixa de temperatura",IF(AND(ISNUMBER($L227),ISNUMBER($M227),$L227&gt;$M227),"Temp. mínima maior que a máxima","OK")))))))))</f>
        <v/>
      </c>
      <c r="R227" s="49">
        <f>IF($E227="","",IFERROR(INDEX(Tipos!$B$5:$B$51,MATCH($E227,Tipos!$A$5:$A$51,0)),""))</f>
        <v/>
      </c>
    </row>
    <row r="228" ht="15" customHeight="1" s="33">
      <c r="A228" s="50" t="inlineStr">
        <is>
          <t>RioMar Recife</t>
        </is>
      </c>
      <c r="B228" s="50" t="n"/>
      <c r="C228" s="50" t="n"/>
      <c r="D228" s="50" t="n"/>
      <c r="E228" s="50" t="n"/>
      <c r="F228" s="50" t="n"/>
      <c r="G228" s="50" t="n"/>
      <c r="H228" s="50" t="n"/>
      <c r="I228" s="50" t="n"/>
      <c r="J228" s="50" t="n"/>
      <c r="K228" s="51" t="n"/>
      <c r="L228" s="51" t="n"/>
      <c r="M228" s="51" t="n"/>
      <c r="N228" s="50" t="n"/>
      <c r="O228" s="49">
        <f>IF($E228="","",IFERROR(INDEX(Tipos!$C$5:$C$51,MATCH($E228,Tipos!$A$5:$A$51,0)),"Tipo não encontrado"))</f>
        <v/>
      </c>
      <c r="P228" s="49">
        <f>IF($E228="","",IFERROR(INDEX(Tipos!$D$5:$D$51,MATCH($E228,Tipos!$A$5:$A$51,0)),""))</f>
        <v/>
      </c>
      <c r="Q228" s="49">
        <f>IF(COUNTA($B228:$F228)=0,"",IF($B228="","Falta Área",IF($C228="","Falta Setor",IF($D228="","Falta Equipamento",IF($E228="","Falta Tipo",IF($F228="","Falta Categoria",IF(COUNTIF($D$4:$D$303,$D228)&gt;1,"Nome repetido: diferencie (01, 02…)",IF(AND(ISNUMBER(SEARCH("Temperatura",$P228)),OR($L228="",$M228="")),"Falta faixa de temperatura",IF(AND(ISNUMBER($L228),ISNUMBER($M228),$L228&gt;$M228),"Temp. mínima maior que a máxima","OK")))))))))</f>
        <v/>
      </c>
      <c r="R228" s="49">
        <f>IF($E228="","",IFERROR(INDEX(Tipos!$B$5:$B$51,MATCH($E228,Tipos!$A$5:$A$51,0)),""))</f>
        <v/>
      </c>
    </row>
    <row r="229" ht="15" customHeight="1" s="33">
      <c r="A229" s="50" t="inlineStr">
        <is>
          <t>RioMar Recife</t>
        </is>
      </c>
      <c r="B229" s="50" t="n"/>
      <c r="C229" s="50" t="n"/>
      <c r="D229" s="50" t="n"/>
      <c r="E229" s="50" t="n"/>
      <c r="F229" s="50" t="n"/>
      <c r="G229" s="50" t="n"/>
      <c r="H229" s="50" t="n"/>
      <c r="I229" s="50" t="n"/>
      <c r="J229" s="50" t="n"/>
      <c r="K229" s="51" t="n"/>
      <c r="L229" s="51" t="n"/>
      <c r="M229" s="51" t="n"/>
      <c r="N229" s="50" t="n"/>
      <c r="O229" s="49">
        <f>IF($E229="","",IFERROR(INDEX(Tipos!$C$5:$C$51,MATCH($E229,Tipos!$A$5:$A$51,0)),"Tipo não encontrado"))</f>
        <v/>
      </c>
      <c r="P229" s="49">
        <f>IF($E229="","",IFERROR(INDEX(Tipos!$D$5:$D$51,MATCH($E229,Tipos!$A$5:$A$51,0)),""))</f>
        <v/>
      </c>
      <c r="Q229" s="49">
        <f>IF(COUNTA($B229:$F229)=0,"",IF($B229="","Falta Área",IF($C229="","Falta Setor",IF($D229="","Falta Equipamento",IF($E229="","Falta Tipo",IF($F229="","Falta Categoria",IF(COUNTIF($D$4:$D$303,$D229)&gt;1,"Nome repetido: diferencie (01, 02…)",IF(AND(ISNUMBER(SEARCH("Temperatura",$P229)),OR($L229="",$M229="")),"Falta faixa de temperatura",IF(AND(ISNUMBER($L229),ISNUMBER($M229),$L229&gt;$M229),"Temp. mínima maior que a máxima","OK")))))))))</f>
        <v/>
      </c>
      <c r="R229" s="49">
        <f>IF($E229="","",IFERROR(INDEX(Tipos!$B$5:$B$51,MATCH($E229,Tipos!$A$5:$A$51,0)),""))</f>
        <v/>
      </c>
    </row>
    <row r="230" ht="15" customHeight="1" s="33">
      <c r="A230" s="50" t="inlineStr">
        <is>
          <t>RioMar Recife</t>
        </is>
      </c>
      <c r="B230" s="50" t="n"/>
      <c r="C230" s="50" t="n"/>
      <c r="D230" s="50" t="n"/>
      <c r="E230" s="50" t="n"/>
      <c r="F230" s="50" t="n"/>
      <c r="G230" s="50" t="n"/>
      <c r="H230" s="50" t="n"/>
      <c r="I230" s="50" t="n"/>
      <c r="J230" s="50" t="n"/>
      <c r="K230" s="51" t="n"/>
      <c r="L230" s="51" t="n"/>
      <c r="M230" s="51" t="n"/>
      <c r="N230" s="50" t="n"/>
      <c r="O230" s="49">
        <f>IF($E230="","",IFERROR(INDEX(Tipos!$C$5:$C$51,MATCH($E230,Tipos!$A$5:$A$51,0)),"Tipo não encontrado"))</f>
        <v/>
      </c>
      <c r="P230" s="49">
        <f>IF($E230="","",IFERROR(INDEX(Tipos!$D$5:$D$51,MATCH($E230,Tipos!$A$5:$A$51,0)),""))</f>
        <v/>
      </c>
      <c r="Q230" s="49">
        <f>IF(COUNTA($B230:$F230)=0,"",IF($B230="","Falta Área",IF($C230="","Falta Setor",IF($D230="","Falta Equipamento",IF($E230="","Falta Tipo",IF($F230="","Falta Categoria",IF(COUNTIF($D$4:$D$303,$D230)&gt;1,"Nome repetido: diferencie (01, 02…)",IF(AND(ISNUMBER(SEARCH("Temperatura",$P230)),OR($L230="",$M230="")),"Falta faixa de temperatura",IF(AND(ISNUMBER($L230),ISNUMBER($M230),$L230&gt;$M230),"Temp. mínima maior que a máxima","OK")))))))))</f>
        <v/>
      </c>
      <c r="R230" s="49">
        <f>IF($E230="","",IFERROR(INDEX(Tipos!$B$5:$B$51,MATCH($E230,Tipos!$A$5:$A$51,0)),""))</f>
        <v/>
      </c>
    </row>
    <row r="231" ht="15" customHeight="1" s="33">
      <c r="A231" s="50" t="inlineStr">
        <is>
          <t>RioMar Recife</t>
        </is>
      </c>
      <c r="B231" s="50" t="n"/>
      <c r="C231" s="50" t="n"/>
      <c r="D231" s="50" t="n"/>
      <c r="E231" s="50" t="n"/>
      <c r="F231" s="50" t="n"/>
      <c r="G231" s="50" t="n"/>
      <c r="H231" s="50" t="n"/>
      <c r="I231" s="50" t="n"/>
      <c r="J231" s="50" t="n"/>
      <c r="K231" s="51" t="n"/>
      <c r="L231" s="51" t="n"/>
      <c r="M231" s="51" t="n"/>
      <c r="N231" s="50" t="n"/>
      <c r="O231" s="49">
        <f>IF($E231="","",IFERROR(INDEX(Tipos!$C$5:$C$51,MATCH($E231,Tipos!$A$5:$A$51,0)),"Tipo não encontrado"))</f>
        <v/>
      </c>
      <c r="P231" s="49">
        <f>IF($E231="","",IFERROR(INDEX(Tipos!$D$5:$D$51,MATCH($E231,Tipos!$A$5:$A$51,0)),""))</f>
        <v/>
      </c>
      <c r="Q231" s="49">
        <f>IF(COUNTA($B231:$F231)=0,"",IF($B231="","Falta Área",IF($C231="","Falta Setor",IF($D231="","Falta Equipamento",IF($E231="","Falta Tipo",IF($F231="","Falta Categoria",IF(COUNTIF($D$4:$D$303,$D231)&gt;1,"Nome repetido: diferencie (01, 02…)",IF(AND(ISNUMBER(SEARCH("Temperatura",$P231)),OR($L231="",$M231="")),"Falta faixa de temperatura",IF(AND(ISNUMBER($L231),ISNUMBER($M231),$L231&gt;$M231),"Temp. mínima maior que a máxima","OK")))))))))</f>
        <v/>
      </c>
      <c r="R231" s="49">
        <f>IF($E231="","",IFERROR(INDEX(Tipos!$B$5:$B$51,MATCH($E231,Tipos!$A$5:$A$51,0)),""))</f>
        <v/>
      </c>
    </row>
    <row r="232" ht="15" customHeight="1" s="33">
      <c r="A232" s="50" t="inlineStr">
        <is>
          <t>RioMar Recife</t>
        </is>
      </c>
      <c r="B232" s="50" t="n"/>
      <c r="C232" s="50" t="n"/>
      <c r="D232" s="50" t="n"/>
      <c r="E232" s="50" t="n"/>
      <c r="F232" s="50" t="n"/>
      <c r="G232" s="50" t="n"/>
      <c r="H232" s="50" t="n"/>
      <c r="I232" s="50" t="n"/>
      <c r="J232" s="50" t="n"/>
      <c r="K232" s="51" t="n"/>
      <c r="L232" s="51" t="n"/>
      <c r="M232" s="51" t="n"/>
      <c r="N232" s="50" t="n"/>
      <c r="O232" s="49">
        <f>IF($E232="","",IFERROR(INDEX(Tipos!$C$5:$C$51,MATCH($E232,Tipos!$A$5:$A$51,0)),"Tipo não encontrado"))</f>
        <v/>
      </c>
      <c r="P232" s="49">
        <f>IF($E232="","",IFERROR(INDEX(Tipos!$D$5:$D$51,MATCH($E232,Tipos!$A$5:$A$51,0)),""))</f>
        <v/>
      </c>
      <c r="Q232" s="49">
        <f>IF(COUNTA($B232:$F232)=0,"",IF($B232="","Falta Área",IF($C232="","Falta Setor",IF($D232="","Falta Equipamento",IF($E232="","Falta Tipo",IF($F232="","Falta Categoria",IF(COUNTIF($D$4:$D$303,$D232)&gt;1,"Nome repetido: diferencie (01, 02…)",IF(AND(ISNUMBER(SEARCH("Temperatura",$P232)),OR($L232="",$M232="")),"Falta faixa de temperatura",IF(AND(ISNUMBER($L232),ISNUMBER($M232),$L232&gt;$M232),"Temp. mínima maior que a máxima","OK")))))))))</f>
        <v/>
      </c>
      <c r="R232" s="49">
        <f>IF($E232="","",IFERROR(INDEX(Tipos!$B$5:$B$51,MATCH($E232,Tipos!$A$5:$A$51,0)),""))</f>
        <v/>
      </c>
    </row>
    <row r="233" ht="15" customHeight="1" s="33">
      <c r="A233" s="50" t="inlineStr">
        <is>
          <t>RioMar Recife</t>
        </is>
      </c>
      <c r="B233" s="50" t="n"/>
      <c r="C233" s="50" t="n"/>
      <c r="D233" s="50" t="n"/>
      <c r="E233" s="50" t="n"/>
      <c r="F233" s="50" t="n"/>
      <c r="G233" s="50" t="n"/>
      <c r="H233" s="50" t="n"/>
      <c r="I233" s="50" t="n"/>
      <c r="J233" s="50" t="n"/>
      <c r="K233" s="51" t="n"/>
      <c r="L233" s="51" t="n"/>
      <c r="M233" s="51" t="n"/>
      <c r="N233" s="50" t="n"/>
      <c r="O233" s="49">
        <f>IF($E233="","",IFERROR(INDEX(Tipos!$C$5:$C$51,MATCH($E233,Tipos!$A$5:$A$51,0)),"Tipo não encontrado"))</f>
        <v/>
      </c>
      <c r="P233" s="49">
        <f>IF($E233="","",IFERROR(INDEX(Tipos!$D$5:$D$51,MATCH($E233,Tipos!$A$5:$A$51,0)),""))</f>
        <v/>
      </c>
      <c r="Q233" s="49">
        <f>IF(COUNTA($B233:$F233)=0,"",IF($B233="","Falta Área",IF($C233="","Falta Setor",IF($D233="","Falta Equipamento",IF($E233="","Falta Tipo",IF($F233="","Falta Categoria",IF(COUNTIF($D$4:$D$303,$D233)&gt;1,"Nome repetido: diferencie (01, 02…)",IF(AND(ISNUMBER(SEARCH("Temperatura",$P233)),OR($L233="",$M233="")),"Falta faixa de temperatura",IF(AND(ISNUMBER($L233),ISNUMBER($M233),$L233&gt;$M233),"Temp. mínima maior que a máxima","OK")))))))))</f>
        <v/>
      </c>
      <c r="R233" s="49">
        <f>IF($E233="","",IFERROR(INDEX(Tipos!$B$5:$B$51,MATCH($E233,Tipos!$A$5:$A$51,0)),""))</f>
        <v/>
      </c>
    </row>
    <row r="234" ht="15" customHeight="1" s="33">
      <c r="A234" s="50" t="inlineStr">
        <is>
          <t>RioMar Recife</t>
        </is>
      </c>
      <c r="B234" s="50" t="n"/>
      <c r="C234" s="50" t="n"/>
      <c r="D234" s="50" t="n"/>
      <c r="E234" s="50" t="n"/>
      <c r="F234" s="50" t="n"/>
      <c r="G234" s="50" t="n"/>
      <c r="H234" s="50" t="n"/>
      <c r="I234" s="50" t="n"/>
      <c r="J234" s="50" t="n"/>
      <c r="K234" s="51" t="n"/>
      <c r="L234" s="51" t="n"/>
      <c r="M234" s="51" t="n"/>
      <c r="N234" s="50" t="n"/>
      <c r="O234" s="49">
        <f>IF($E234="","",IFERROR(INDEX(Tipos!$C$5:$C$51,MATCH($E234,Tipos!$A$5:$A$51,0)),"Tipo não encontrado"))</f>
        <v/>
      </c>
      <c r="P234" s="49">
        <f>IF($E234="","",IFERROR(INDEX(Tipos!$D$5:$D$51,MATCH($E234,Tipos!$A$5:$A$51,0)),""))</f>
        <v/>
      </c>
      <c r="Q234" s="49">
        <f>IF(COUNTA($B234:$F234)=0,"",IF($B234="","Falta Área",IF($C234="","Falta Setor",IF($D234="","Falta Equipamento",IF($E234="","Falta Tipo",IF($F234="","Falta Categoria",IF(COUNTIF($D$4:$D$303,$D234)&gt;1,"Nome repetido: diferencie (01, 02…)",IF(AND(ISNUMBER(SEARCH("Temperatura",$P234)),OR($L234="",$M234="")),"Falta faixa de temperatura",IF(AND(ISNUMBER($L234),ISNUMBER($M234),$L234&gt;$M234),"Temp. mínima maior que a máxima","OK")))))))))</f>
        <v/>
      </c>
      <c r="R234" s="49">
        <f>IF($E234="","",IFERROR(INDEX(Tipos!$B$5:$B$51,MATCH($E234,Tipos!$A$5:$A$51,0)),""))</f>
        <v/>
      </c>
    </row>
    <row r="235" ht="15" customHeight="1" s="33">
      <c r="A235" s="50" t="inlineStr">
        <is>
          <t>RioMar Recife</t>
        </is>
      </c>
      <c r="B235" s="50" t="n"/>
      <c r="C235" s="50" t="n"/>
      <c r="D235" s="50" t="n"/>
      <c r="E235" s="50" t="n"/>
      <c r="F235" s="50" t="n"/>
      <c r="G235" s="50" t="n"/>
      <c r="H235" s="50" t="n"/>
      <c r="I235" s="50" t="n"/>
      <c r="J235" s="50" t="n"/>
      <c r="K235" s="51" t="n"/>
      <c r="L235" s="51" t="n"/>
      <c r="M235" s="51" t="n"/>
      <c r="N235" s="50" t="n"/>
      <c r="O235" s="49">
        <f>IF($E235="","",IFERROR(INDEX(Tipos!$C$5:$C$51,MATCH($E235,Tipos!$A$5:$A$51,0)),"Tipo não encontrado"))</f>
        <v/>
      </c>
      <c r="P235" s="49">
        <f>IF($E235="","",IFERROR(INDEX(Tipos!$D$5:$D$51,MATCH($E235,Tipos!$A$5:$A$51,0)),""))</f>
        <v/>
      </c>
      <c r="Q235" s="49">
        <f>IF(COUNTA($B235:$F235)=0,"",IF($B235="","Falta Área",IF($C235="","Falta Setor",IF($D235="","Falta Equipamento",IF($E235="","Falta Tipo",IF($F235="","Falta Categoria",IF(COUNTIF($D$4:$D$303,$D235)&gt;1,"Nome repetido: diferencie (01, 02…)",IF(AND(ISNUMBER(SEARCH("Temperatura",$P235)),OR($L235="",$M235="")),"Falta faixa de temperatura",IF(AND(ISNUMBER($L235),ISNUMBER($M235),$L235&gt;$M235),"Temp. mínima maior que a máxima","OK")))))))))</f>
        <v/>
      </c>
      <c r="R235" s="49">
        <f>IF($E235="","",IFERROR(INDEX(Tipos!$B$5:$B$51,MATCH($E235,Tipos!$A$5:$A$51,0)),""))</f>
        <v/>
      </c>
    </row>
    <row r="236" ht="15" customHeight="1" s="33">
      <c r="A236" s="50" t="inlineStr">
        <is>
          <t>RioMar Recife</t>
        </is>
      </c>
      <c r="B236" s="50" t="n"/>
      <c r="C236" s="50" t="n"/>
      <c r="D236" s="50" t="n"/>
      <c r="E236" s="50" t="n"/>
      <c r="F236" s="50" t="n"/>
      <c r="G236" s="50" t="n"/>
      <c r="H236" s="50" t="n"/>
      <c r="I236" s="50" t="n"/>
      <c r="J236" s="50" t="n"/>
      <c r="K236" s="51" t="n"/>
      <c r="L236" s="51" t="n"/>
      <c r="M236" s="51" t="n"/>
      <c r="N236" s="50" t="n"/>
      <c r="O236" s="49">
        <f>IF($E236="","",IFERROR(INDEX(Tipos!$C$5:$C$51,MATCH($E236,Tipos!$A$5:$A$51,0)),"Tipo não encontrado"))</f>
        <v/>
      </c>
      <c r="P236" s="49">
        <f>IF($E236="","",IFERROR(INDEX(Tipos!$D$5:$D$51,MATCH($E236,Tipos!$A$5:$A$51,0)),""))</f>
        <v/>
      </c>
      <c r="Q236" s="49">
        <f>IF(COUNTA($B236:$F236)=0,"",IF($B236="","Falta Área",IF($C236="","Falta Setor",IF($D236="","Falta Equipamento",IF($E236="","Falta Tipo",IF($F236="","Falta Categoria",IF(COUNTIF($D$4:$D$303,$D236)&gt;1,"Nome repetido: diferencie (01, 02…)",IF(AND(ISNUMBER(SEARCH("Temperatura",$P236)),OR($L236="",$M236="")),"Falta faixa de temperatura",IF(AND(ISNUMBER($L236),ISNUMBER($M236),$L236&gt;$M236),"Temp. mínima maior que a máxima","OK")))))))))</f>
        <v/>
      </c>
      <c r="R236" s="49">
        <f>IF($E236="","",IFERROR(INDEX(Tipos!$B$5:$B$51,MATCH($E236,Tipos!$A$5:$A$51,0)),""))</f>
        <v/>
      </c>
    </row>
    <row r="237" ht="15" customHeight="1" s="33">
      <c r="A237" s="50" t="inlineStr">
        <is>
          <t>RioMar Recife</t>
        </is>
      </c>
      <c r="B237" s="50" t="n"/>
      <c r="C237" s="50" t="n"/>
      <c r="D237" s="50" t="n"/>
      <c r="E237" s="50" t="n"/>
      <c r="F237" s="50" t="n"/>
      <c r="G237" s="50" t="n"/>
      <c r="H237" s="50" t="n"/>
      <c r="I237" s="50" t="n"/>
      <c r="J237" s="50" t="n"/>
      <c r="K237" s="51" t="n"/>
      <c r="L237" s="51" t="n"/>
      <c r="M237" s="51" t="n"/>
      <c r="N237" s="50" t="n"/>
      <c r="O237" s="49">
        <f>IF($E237="","",IFERROR(INDEX(Tipos!$C$5:$C$51,MATCH($E237,Tipos!$A$5:$A$51,0)),"Tipo não encontrado"))</f>
        <v/>
      </c>
      <c r="P237" s="49">
        <f>IF($E237="","",IFERROR(INDEX(Tipos!$D$5:$D$51,MATCH($E237,Tipos!$A$5:$A$51,0)),""))</f>
        <v/>
      </c>
      <c r="Q237" s="49">
        <f>IF(COUNTA($B237:$F237)=0,"",IF($B237="","Falta Área",IF($C237="","Falta Setor",IF($D237="","Falta Equipamento",IF($E237="","Falta Tipo",IF($F237="","Falta Categoria",IF(COUNTIF($D$4:$D$303,$D237)&gt;1,"Nome repetido: diferencie (01, 02…)",IF(AND(ISNUMBER(SEARCH("Temperatura",$P237)),OR($L237="",$M237="")),"Falta faixa de temperatura",IF(AND(ISNUMBER($L237),ISNUMBER($M237),$L237&gt;$M237),"Temp. mínima maior que a máxima","OK")))))))))</f>
        <v/>
      </c>
      <c r="R237" s="49">
        <f>IF($E237="","",IFERROR(INDEX(Tipos!$B$5:$B$51,MATCH($E237,Tipos!$A$5:$A$51,0)),""))</f>
        <v/>
      </c>
    </row>
    <row r="238" ht="15" customHeight="1" s="33">
      <c r="A238" s="50" t="inlineStr">
        <is>
          <t>RioMar Recife</t>
        </is>
      </c>
      <c r="B238" s="50" t="n"/>
      <c r="C238" s="50" t="n"/>
      <c r="D238" s="50" t="n"/>
      <c r="E238" s="50" t="n"/>
      <c r="F238" s="50" t="n"/>
      <c r="G238" s="50" t="n"/>
      <c r="H238" s="50" t="n"/>
      <c r="I238" s="50" t="n"/>
      <c r="J238" s="50" t="n"/>
      <c r="K238" s="51" t="n"/>
      <c r="L238" s="51" t="n"/>
      <c r="M238" s="51" t="n"/>
      <c r="N238" s="50" t="n"/>
      <c r="O238" s="49">
        <f>IF($E238="","",IFERROR(INDEX(Tipos!$C$5:$C$51,MATCH($E238,Tipos!$A$5:$A$51,0)),"Tipo não encontrado"))</f>
        <v/>
      </c>
      <c r="P238" s="49">
        <f>IF($E238="","",IFERROR(INDEX(Tipos!$D$5:$D$51,MATCH($E238,Tipos!$A$5:$A$51,0)),""))</f>
        <v/>
      </c>
      <c r="Q238" s="49">
        <f>IF(COUNTA($B238:$F238)=0,"",IF($B238="","Falta Área",IF($C238="","Falta Setor",IF($D238="","Falta Equipamento",IF($E238="","Falta Tipo",IF($F238="","Falta Categoria",IF(COUNTIF($D$4:$D$303,$D238)&gt;1,"Nome repetido: diferencie (01, 02…)",IF(AND(ISNUMBER(SEARCH("Temperatura",$P238)),OR($L238="",$M238="")),"Falta faixa de temperatura",IF(AND(ISNUMBER($L238),ISNUMBER($M238),$L238&gt;$M238),"Temp. mínima maior que a máxima","OK")))))))))</f>
        <v/>
      </c>
      <c r="R238" s="49">
        <f>IF($E238="","",IFERROR(INDEX(Tipos!$B$5:$B$51,MATCH($E238,Tipos!$A$5:$A$51,0)),""))</f>
        <v/>
      </c>
    </row>
    <row r="239" ht="15" customHeight="1" s="33">
      <c r="A239" s="50" t="inlineStr">
        <is>
          <t>RioMar Recife</t>
        </is>
      </c>
      <c r="B239" s="50" t="n"/>
      <c r="C239" s="50" t="n"/>
      <c r="D239" s="50" t="n"/>
      <c r="E239" s="50" t="n"/>
      <c r="F239" s="50" t="n"/>
      <c r="G239" s="50" t="n"/>
      <c r="H239" s="50" t="n"/>
      <c r="I239" s="50" t="n"/>
      <c r="J239" s="50" t="n"/>
      <c r="K239" s="51" t="n"/>
      <c r="L239" s="51" t="n"/>
      <c r="M239" s="51" t="n"/>
      <c r="N239" s="50" t="n"/>
      <c r="O239" s="49">
        <f>IF($E239="","",IFERROR(INDEX(Tipos!$C$5:$C$51,MATCH($E239,Tipos!$A$5:$A$51,0)),"Tipo não encontrado"))</f>
        <v/>
      </c>
      <c r="P239" s="49">
        <f>IF($E239="","",IFERROR(INDEX(Tipos!$D$5:$D$51,MATCH($E239,Tipos!$A$5:$A$51,0)),""))</f>
        <v/>
      </c>
      <c r="Q239" s="49">
        <f>IF(COUNTA($B239:$F239)=0,"",IF($B239="","Falta Área",IF($C239="","Falta Setor",IF($D239="","Falta Equipamento",IF($E239="","Falta Tipo",IF($F239="","Falta Categoria",IF(COUNTIF($D$4:$D$303,$D239)&gt;1,"Nome repetido: diferencie (01, 02…)",IF(AND(ISNUMBER(SEARCH("Temperatura",$P239)),OR($L239="",$M239="")),"Falta faixa de temperatura",IF(AND(ISNUMBER($L239),ISNUMBER($M239),$L239&gt;$M239),"Temp. mínima maior que a máxima","OK")))))))))</f>
        <v/>
      </c>
      <c r="R239" s="49">
        <f>IF($E239="","",IFERROR(INDEX(Tipos!$B$5:$B$51,MATCH($E239,Tipos!$A$5:$A$51,0)),""))</f>
        <v/>
      </c>
    </row>
    <row r="240" ht="15" customHeight="1" s="33">
      <c r="A240" s="50" t="inlineStr">
        <is>
          <t>RioMar Recife</t>
        </is>
      </c>
      <c r="B240" s="50" t="n"/>
      <c r="C240" s="50" t="n"/>
      <c r="D240" s="50" t="n"/>
      <c r="E240" s="50" t="n"/>
      <c r="F240" s="50" t="n"/>
      <c r="G240" s="50" t="n"/>
      <c r="H240" s="50" t="n"/>
      <c r="I240" s="50" t="n"/>
      <c r="J240" s="50" t="n"/>
      <c r="K240" s="51" t="n"/>
      <c r="L240" s="51" t="n"/>
      <c r="M240" s="51" t="n"/>
      <c r="N240" s="50" t="n"/>
      <c r="O240" s="49">
        <f>IF($E240="","",IFERROR(INDEX(Tipos!$C$5:$C$51,MATCH($E240,Tipos!$A$5:$A$51,0)),"Tipo não encontrado"))</f>
        <v/>
      </c>
      <c r="P240" s="49">
        <f>IF($E240="","",IFERROR(INDEX(Tipos!$D$5:$D$51,MATCH($E240,Tipos!$A$5:$A$51,0)),""))</f>
        <v/>
      </c>
      <c r="Q240" s="49">
        <f>IF(COUNTA($B240:$F240)=0,"",IF($B240="","Falta Área",IF($C240="","Falta Setor",IF($D240="","Falta Equipamento",IF($E240="","Falta Tipo",IF($F240="","Falta Categoria",IF(COUNTIF($D$4:$D$303,$D240)&gt;1,"Nome repetido: diferencie (01, 02…)",IF(AND(ISNUMBER(SEARCH("Temperatura",$P240)),OR($L240="",$M240="")),"Falta faixa de temperatura",IF(AND(ISNUMBER($L240),ISNUMBER($M240),$L240&gt;$M240),"Temp. mínima maior que a máxima","OK")))))))))</f>
        <v/>
      </c>
      <c r="R240" s="49">
        <f>IF($E240="","",IFERROR(INDEX(Tipos!$B$5:$B$51,MATCH($E240,Tipos!$A$5:$A$51,0)),""))</f>
        <v/>
      </c>
    </row>
    <row r="241" ht="15" customHeight="1" s="33">
      <c r="A241" s="50" t="inlineStr">
        <is>
          <t>RioMar Recife</t>
        </is>
      </c>
      <c r="B241" s="50" t="n"/>
      <c r="C241" s="50" t="n"/>
      <c r="D241" s="50" t="n"/>
      <c r="E241" s="50" t="n"/>
      <c r="F241" s="50" t="n"/>
      <c r="G241" s="50" t="n"/>
      <c r="H241" s="50" t="n"/>
      <c r="I241" s="50" t="n"/>
      <c r="J241" s="50" t="n"/>
      <c r="K241" s="51" t="n"/>
      <c r="L241" s="51" t="n"/>
      <c r="M241" s="51" t="n"/>
      <c r="N241" s="50" t="n"/>
      <c r="O241" s="49">
        <f>IF($E241="","",IFERROR(INDEX(Tipos!$C$5:$C$51,MATCH($E241,Tipos!$A$5:$A$51,0)),"Tipo não encontrado"))</f>
        <v/>
      </c>
      <c r="P241" s="49">
        <f>IF($E241="","",IFERROR(INDEX(Tipos!$D$5:$D$51,MATCH($E241,Tipos!$A$5:$A$51,0)),""))</f>
        <v/>
      </c>
      <c r="Q241" s="49">
        <f>IF(COUNTA($B241:$F241)=0,"",IF($B241="","Falta Área",IF($C241="","Falta Setor",IF($D241="","Falta Equipamento",IF($E241="","Falta Tipo",IF($F241="","Falta Categoria",IF(COUNTIF($D$4:$D$303,$D241)&gt;1,"Nome repetido: diferencie (01, 02…)",IF(AND(ISNUMBER(SEARCH("Temperatura",$P241)),OR($L241="",$M241="")),"Falta faixa de temperatura",IF(AND(ISNUMBER($L241),ISNUMBER($M241),$L241&gt;$M241),"Temp. mínima maior que a máxima","OK")))))))))</f>
        <v/>
      </c>
      <c r="R241" s="49">
        <f>IF($E241="","",IFERROR(INDEX(Tipos!$B$5:$B$51,MATCH($E241,Tipos!$A$5:$A$51,0)),""))</f>
        <v/>
      </c>
    </row>
    <row r="242" ht="15" customHeight="1" s="33">
      <c r="A242" s="50" t="inlineStr">
        <is>
          <t>RioMar Recife</t>
        </is>
      </c>
      <c r="B242" s="50" t="n"/>
      <c r="C242" s="50" t="n"/>
      <c r="D242" s="50" t="n"/>
      <c r="E242" s="50" t="n"/>
      <c r="F242" s="50" t="n"/>
      <c r="G242" s="50" t="n"/>
      <c r="H242" s="50" t="n"/>
      <c r="I242" s="50" t="n"/>
      <c r="J242" s="50" t="n"/>
      <c r="K242" s="51" t="n"/>
      <c r="L242" s="51" t="n"/>
      <c r="M242" s="51" t="n"/>
      <c r="N242" s="50" t="n"/>
      <c r="O242" s="49">
        <f>IF($E242="","",IFERROR(INDEX(Tipos!$C$5:$C$51,MATCH($E242,Tipos!$A$5:$A$51,0)),"Tipo não encontrado"))</f>
        <v/>
      </c>
      <c r="P242" s="49">
        <f>IF($E242="","",IFERROR(INDEX(Tipos!$D$5:$D$51,MATCH($E242,Tipos!$A$5:$A$51,0)),""))</f>
        <v/>
      </c>
      <c r="Q242" s="49">
        <f>IF(COUNTA($B242:$F242)=0,"",IF($B242="","Falta Área",IF($C242="","Falta Setor",IF($D242="","Falta Equipamento",IF($E242="","Falta Tipo",IF($F242="","Falta Categoria",IF(COUNTIF($D$4:$D$303,$D242)&gt;1,"Nome repetido: diferencie (01, 02…)",IF(AND(ISNUMBER(SEARCH("Temperatura",$P242)),OR($L242="",$M242="")),"Falta faixa de temperatura",IF(AND(ISNUMBER($L242),ISNUMBER($M242),$L242&gt;$M242),"Temp. mínima maior que a máxima","OK")))))))))</f>
        <v/>
      </c>
      <c r="R242" s="49">
        <f>IF($E242="","",IFERROR(INDEX(Tipos!$B$5:$B$51,MATCH($E242,Tipos!$A$5:$A$51,0)),""))</f>
        <v/>
      </c>
    </row>
    <row r="243" ht="15" customHeight="1" s="33">
      <c r="A243" s="50" t="inlineStr">
        <is>
          <t>RioMar Recife</t>
        </is>
      </c>
      <c r="B243" s="50" t="n"/>
      <c r="C243" s="50" t="n"/>
      <c r="D243" s="50" t="n"/>
      <c r="E243" s="50" t="n"/>
      <c r="F243" s="50" t="n"/>
      <c r="G243" s="50" t="n"/>
      <c r="H243" s="50" t="n"/>
      <c r="I243" s="50" t="n"/>
      <c r="J243" s="50" t="n"/>
      <c r="K243" s="51" t="n"/>
      <c r="L243" s="51" t="n"/>
      <c r="M243" s="51" t="n"/>
      <c r="N243" s="50" t="n"/>
      <c r="O243" s="49">
        <f>IF($E243="","",IFERROR(INDEX(Tipos!$C$5:$C$51,MATCH($E243,Tipos!$A$5:$A$51,0)),"Tipo não encontrado"))</f>
        <v/>
      </c>
      <c r="P243" s="49">
        <f>IF($E243="","",IFERROR(INDEX(Tipos!$D$5:$D$51,MATCH($E243,Tipos!$A$5:$A$51,0)),""))</f>
        <v/>
      </c>
      <c r="Q243" s="49">
        <f>IF(COUNTA($B243:$F243)=0,"",IF($B243="","Falta Área",IF($C243="","Falta Setor",IF($D243="","Falta Equipamento",IF($E243="","Falta Tipo",IF($F243="","Falta Categoria",IF(COUNTIF($D$4:$D$303,$D243)&gt;1,"Nome repetido: diferencie (01, 02…)",IF(AND(ISNUMBER(SEARCH("Temperatura",$P243)),OR($L243="",$M243="")),"Falta faixa de temperatura",IF(AND(ISNUMBER($L243),ISNUMBER($M243),$L243&gt;$M243),"Temp. mínima maior que a máxima","OK")))))))))</f>
        <v/>
      </c>
      <c r="R243" s="49">
        <f>IF($E243="","",IFERROR(INDEX(Tipos!$B$5:$B$51,MATCH($E243,Tipos!$A$5:$A$51,0)),""))</f>
        <v/>
      </c>
    </row>
    <row r="244" ht="15" customHeight="1" s="33">
      <c r="A244" s="50" t="inlineStr">
        <is>
          <t>RioMar Recife</t>
        </is>
      </c>
      <c r="B244" s="50" t="n"/>
      <c r="C244" s="50" t="n"/>
      <c r="D244" s="50" t="n"/>
      <c r="E244" s="50" t="n"/>
      <c r="F244" s="50" t="n"/>
      <c r="G244" s="50" t="n"/>
      <c r="H244" s="50" t="n"/>
      <c r="I244" s="50" t="n"/>
      <c r="J244" s="50" t="n"/>
      <c r="K244" s="51" t="n"/>
      <c r="L244" s="51" t="n"/>
      <c r="M244" s="51" t="n"/>
      <c r="N244" s="50" t="n"/>
      <c r="O244" s="49">
        <f>IF($E244="","",IFERROR(INDEX(Tipos!$C$5:$C$51,MATCH($E244,Tipos!$A$5:$A$51,0)),"Tipo não encontrado"))</f>
        <v/>
      </c>
      <c r="P244" s="49">
        <f>IF($E244="","",IFERROR(INDEX(Tipos!$D$5:$D$51,MATCH($E244,Tipos!$A$5:$A$51,0)),""))</f>
        <v/>
      </c>
      <c r="Q244" s="49">
        <f>IF(COUNTA($B244:$F244)=0,"",IF($B244="","Falta Área",IF($C244="","Falta Setor",IF($D244="","Falta Equipamento",IF($E244="","Falta Tipo",IF($F244="","Falta Categoria",IF(COUNTIF($D$4:$D$303,$D244)&gt;1,"Nome repetido: diferencie (01, 02…)",IF(AND(ISNUMBER(SEARCH("Temperatura",$P244)),OR($L244="",$M244="")),"Falta faixa de temperatura",IF(AND(ISNUMBER($L244),ISNUMBER($M244),$L244&gt;$M244),"Temp. mínima maior que a máxima","OK")))))))))</f>
        <v/>
      </c>
      <c r="R244" s="49">
        <f>IF($E244="","",IFERROR(INDEX(Tipos!$B$5:$B$51,MATCH($E244,Tipos!$A$5:$A$51,0)),""))</f>
        <v/>
      </c>
    </row>
    <row r="245" ht="15" customHeight="1" s="33">
      <c r="A245" s="50" t="inlineStr">
        <is>
          <t>RioMar Recife</t>
        </is>
      </c>
      <c r="B245" s="50" t="n"/>
      <c r="C245" s="50" t="n"/>
      <c r="D245" s="50" t="n"/>
      <c r="E245" s="50" t="n"/>
      <c r="F245" s="50" t="n"/>
      <c r="G245" s="50" t="n"/>
      <c r="H245" s="50" t="n"/>
      <c r="I245" s="50" t="n"/>
      <c r="J245" s="50" t="n"/>
      <c r="K245" s="51" t="n"/>
      <c r="L245" s="51" t="n"/>
      <c r="M245" s="51" t="n"/>
      <c r="N245" s="50" t="n"/>
      <c r="O245" s="49">
        <f>IF($E245="","",IFERROR(INDEX(Tipos!$C$5:$C$51,MATCH($E245,Tipos!$A$5:$A$51,0)),"Tipo não encontrado"))</f>
        <v/>
      </c>
      <c r="P245" s="49">
        <f>IF($E245="","",IFERROR(INDEX(Tipos!$D$5:$D$51,MATCH($E245,Tipos!$A$5:$A$51,0)),""))</f>
        <v/>
      </c>
      <c r="Q245" s="49">
        <f>IF(COUNTA($B245:$F245)=0,"",IF($B245="","Falta Área",IF($C245="","Falta Setor",IF($D245="","Falta Equipamento",IF($E245="","Falta Tipo",IF($F245="","Falta Categoria",IF(COUNTIF($D$4:$D$303,$D245)&gt;1,"Nome repetido: diferencie (01, 02…)",IF(AND(ISNUMBER(SEARCH("Temperatura",$P245)),OR($L245="",$M245="")),"Falta faixa de temperatura",IF(AND(ISNUMBER($L245),ISNUMBER($M245),$L245&gt;$M245),"Temp. mínima maior que a máxima","OK")))))))))</f>
        <v/>
      </c>
      <c r="R245" s="49">
        <f>IF($E245="","",IFERROR(INDEX(Tipos!$B$5:$B$51,MATCH($E245,Tipos!$A$5:$A$51,0)),""))</f>
        <v/>
      </c>
    </row>
    <row r="246" ht="15" customHeight="1" s="33">
      <c r="A246" s="50" t="inlineStr">
        <is>
          <t>RioMar Recife</t>
        </is>
      </c>
      <c r="B246" s="50" t="n"/>
      <c r="C246" s="50" t="n"/>
      <c r="D246" s="50" t="n"/>
      <c r="E246" s="50" t="n"/>
      <c r="F246" s="50" t="n"/>
      <c r="G246" s="50" t="n"/>
      <c r="H246" s="50" t="n"/>
      <c r="I246" s="50" t="n"/>
      <c r="J246" s="50" t="n"/>
      <c r="K246" s="51" t="n"/>
      <c r="L246" s="51" t="n"/>
      <c r="M246" s="51" t="n"/>
      <c r="N246" s="50" t="n"/>
      <c r="O246" s="49">
        <f>IF($E246="","",IFERROR(INDEX(Tipos!$C$5:$C$51,MATCH($E246,Tipos!$A$5:$A$51,0)),"Tipo não encontrado"))</f>
        <v/>
      </c>
      <c r="P246" s="49">
        <f>IF($E246="","",IFERROR(INDEX(Tipos!$D$5:$D$51,MATCH($E246,Tipos!$A$5:$A$51,0)),""))</f>
        <v/>
      </c>
      <c r="Q246" s="49">
        <f>IF(COUNTA($B246:$F246)=0,"",IF($B246="","Falta Área",IF($C246="","Falta Setor",IF($D246="","Falta Equipamento",IF($E246="","Falta Tipo",IF($F246="","Falta Categoria",IF(COUNTIF($D$4:$D$303,$D246)&gt;1,"Nome repetido: diferencie (01, 02…)",IF(AND(ISNUMBER(SEARCH("Temperatura",$P246)),OR($L246="",$M246="")),"Falta faixa de temperatura",IF(AND(ISNUMBER($L246),ISNUMBER($M246),$L246&gt;$M246),"Temp. mínima maior que a máxima","OK")))))))))</f>
        <v/>
      </c>
      <c r="R246" s="49">
        <f>IF($E246="","",IFERROR(INDEX(Tipos!$B$5:$B$51,MATCH($E246,Tipos!$A$5:$A$51,0)),""))</f>
        <v/>
      </c>
    </row>
    <row r="247" ht="15" customHeight="1" s="33">
      <c r="A247" s="50" t="inlineStr">
        <is>
          <t>RioMar Recife</t>
        </is>
      </c>
      <c r="B247" s="50" t="n"/>
      <c r="C247" s="50" t="n"/>
      <c r="D247" s="50" t="n"/>
      <c r="E247" s="50" t="n"/>
      <c r="F247" s="50" t="n"/>
      <c r="G247" s="50" t="n"/>
      <c r="H247" s="50" t="n"/>
      <c r="I247" s="50" t="n"/>
      <c r="J247" s="50" t="n"/>
      <c r="K247" s="51" t="n"/>
      <c r="L247" s="51" t="n"/>
      <c r="M247" s="51" t="n"/>
      <c r="N247" s="50" t="n"/>
      <c r="O247" s="49">
        <f>IF($E247="","",IFERROR(INDEX(Tipos!$C$5:$C$51,MATCH($E247,Tipos!$A$5:$A$51,0)),"Tipo não encontrado"))</f>
        <v/>
      </c>
      <c r="P247" s="49">
        <f>IF($E247="","",IFERROR(INDEX(Tipos!$D$5:$D$51,MATCH($E247,Tipos!$A$5:$A$51,0)),""))</f>
        <v/>
      </c>
      <c r="Q247" s="49">
        <f>IF(COUNTA($B247:$F247)=0,"",IF($B247="","Falta Área",IF($C247="","Falta Setor",IF($D247="","Falta Equipamento",IF($E247="","Falta Tipo",IF($F247="","Falta Categoria",IF(COUNTIF($D$4:$D$303,$D247)&gt;1,"Nome repetido: diferencie (01, 02…)",IF(AND(ISNUMBER(SEARCH("Temperatura",$P247)),OR($L247="",$M247="")),"Falta faixa de temperatura",IF(AND(ISNUMBER($L247),ISNUMBER($M247),$L247&gt;$M247),"Temp. mínima maior que a máxima","OK")))))))))</f>
        <v/>
      </c>
      <c r="R247" s="49">
        <f>IF($E247="","",IFERROR(INDEX(Tipos!$B$5:$B$51,MATCH($E247,Tipos!$A$5:$A$51,0)),""))</f>
        <v/>
      </c>
    </row>
    <row r="248" ht="15" customHeight="1" s="33">
      <c r="A248" s="50" t="inlineStr">
        <is>
          <t>RioMar Recife</t>
        </is>
      </c>
      <c r="B248" s="50" t="n"/>
      <c r="C248" s="50" t="n"/>
      <c r="D248" s="50" t="n"/>
      <c r="E248" s="50" t="n"/>
      <c r="F248" s="50" t="n"/>
      <c r="G248" s="50" t="n"/>
      <c r="H248" s="50" t="n"/>
      <c r="I248" s="50" t="n"/>
      <c r="J248" s="50" t="n"/>
      <c r="K248" s="51" t="n"/>
      <c r="L248" s="51" t="n"/>
      <c r="M248" s="51" t="n"/>
      <c r="N248" s="50" t="n"/>
      <c r="O248" s="49">
        <f>IF($E248="","",IFERROR(INDEX(Tipos!$C$5:$C$51,MATCH($E248,Tipos!$A$5:$A$51,0)),"Tipo não encontrado"))</f>
        <v/>
      </c>
      <c r="P248" s="49">
        <f>IF($E248="","",IFERROR(INDEX(Tipos!$D$5:$D$51,MATCH($E248,Tipos!$A$5:$A$51,0)),""))</f>
        <v/>
      </c>
      <c r="Q248" s="49">
        <f>IF(COUNTA($B248:$F248)=0,"",IF($B248="","Falta Área",IF($C248="","Falta Setor",IF($D248="","Falta Equipamento",IF($E248="","Falta Tipo",IF($F248="","Falta Categoria",IF(COUNTIF($D$4:$D$303,$D248)&gt;1,"Nome repetido: diferencie (01, 02…)",IF(AND(ISNUMBER(SEARCH("Temperatura",$P248)),OR($L248="",$M248="")),"Falta faixa de temperatura",IF(AND(ISNUMBER($L248),ISNUMBER($M248),$L248&gt;$M248),"Temp. mínima maior que a máxima","OK")))))))))</f>
        <v/>
      </c>
      <c r="R248" s="49">
        <f>IF($E248="","",IFERROR(INDEX(Tipos!$B$5:$B$51,MATCH($E248,Tipos!$A$5:$A$51,0)),""))</f>
        <v/>
      </c>
    </row>
    <row r="249" ht="15" customHeight="1" s="33">
      <c r="A249" s="50" t="inlineStr">
        <is>
          <t>RioMar Recife</t>
        </is>
      </c>
      <c r="B249" s="50" t="n"/>
      <c r="C249" s="50" t="n"/>
      <c r="D249" s="50" t="n"/>
      <c r="E249" s="50" t="n"/>
      <c r="F249" s="50" t="n"/>
      <c r="G249" s="50" t="n"/>
      <c r="H249" s="50" t="n"/>
      <c r="I249" s="50" t="n"/>
      <c r="J249" s="50" t="n"/>
      <c r="K249" s="51" t="n"/>
      <c r="L249" s="51" t="n"/>
      <c r="M249" s="51" t="n"/>
      <c r="N249" s="50" t="n"/>
      <c r="O249" s="49">
        <f>IF($E249="","",IFERROR(INDEX(Tipos!$C$5:$C$51,MATCH($E249,Tipos!$A$5:$A$51,0)),"Tipo não encontrado"))</f>
        <v/>
      </c>
      <c r="P249" s="49">
        <f>IF($E249="","",IFERROR(INDEX(Tipos!$D$5:$D$51,MATCH($E249,Tipos!$A$5:$A$51,0)),""))</f>
        <v/>
      </c>
      <c r="Q249" s="49">
        <f>IF(COUNTA($B249:$F249)=0,"",IF($B249="","Falta Área",IF($C249="","Falta Setor",IF($D249="","Falta Equipamento",IF($E249="","Falta Tipo",IF($F249="","Falta Categoria",IF(COUNTIF($D$4:$D$303,$D249)&gt;1,"Nome repetido: diferencie (01, 02…)",IF(AND(ISNUMBER(SEARCH("Temperatura",$P249)),OR($L249="",$M249="")),"Falta faixa de temperatura",IF(AND(ISNUMBER($L249),ISNUMBER($M249),$L249&gt;$M249),"Temp. mínima maior que a máxima","OK")))))))))</f>
        <v/>
      </c>
      <c r="R249" s="49">
        <f>IF($E249="","",IFERROR(INDEX(Tipos!$B$5:$B$51,MATCH($E249,Tipos!$A$5:$A$51,0)),""))</f>
        <v/>
      </c>
    </row>
    <row r="250" ht="15" customHeight="1" s="33">
      <c r="A250" s="50" t="inlineStr">
        <is>
          <t>RioMar Recife</t>
        </is>
      </c>
      <c r="B250" s="50" t="n"/>
      <c r="C250" s="50" t="n"/>
      <c r="D250" s="50" t="n"/>
      <c r="E250" s="50" t="n"/>
      <c r="F250" s="50" t="n"/>
      <c r="G250" s="50" t="n"/>
      <c r="H250" s="50" t="n"/>
      <c r="I250" s="50" t="n"/>
      <c r="J250" s="50" t="n"/>
      <c r="K250" s="51" t="n"/>
      <c r="L250" s="51" t="n"/>
      <c r="M250" s="51" t="n"/>
      <c r="N250" s="50" t="n"/>
      <c r="O250" s="49">
        <f>IF($E250="","",IFERROR(INDEX(Tipos!$C$5:$C$51,MATCH($E250,Tipos!$A$5:$A$51,0)),"Tipo não encontrado"))</f>
        <v/>
      </c>
      <c r="P250" s="49">
        <f>IF($E250="","",IFERROR(INDEX(Tipos!$D$5:$D$51,MATCH($E250,Tipos!$A$5:$A$51,0)),""))</f>
        <v/>
      </c>
      <c r="Q250" s="49">
        <f>IF(COUNTA($B250:$F250)=0,"",IF($B250="","Falta Área",IF($C250="","Falta Setor",IF($D250="","Falta Equipamento",IF($E250="","Falta Tipo",IF($F250="","Falta Categoria",IF(COUNTIF($D$4:$D$303,$D250)&gt;1,"Nome repetido: diferencie (01, 02…)",IF(AND(ISNUMBER(SEARCH("Temperatura",$P250)),OR($L250="",$M250="")),"Falta faixa de temperatura",IF(AND(ISNUMBER($L250),ISNUMBER($M250),$L250&gt;$M250),"Temp. mínima maior que a máxima","OK")))))))))</f>
        <v/>
      </c>
      <c r="R250" s="49">
        <f>IF($E250="","",IFERROR(INDEX(Tipos!$B$5:$B$51,MATCH($E250,Tipos!$A$5:$A$51,0)),""))</f>
        <v/>
      </c>
    </row>
    <row r="251" ht="15" customHeight="1" s="33">
      <c r="A251" s="50" t="inlineStr">
        <is>
          <t>RioMar Recife</t>
        </is>
      </c>
      <c r="B251" s="50" t="n"/>
      <c r="C251" s="50" t="n"/>
      <c r="D251" s="50" t="n"/>
      <c r="E251" s="50" t="n"/>
      <c r="F251" s="50" t="n"/>
      <c r="G251" s="50" t="n"/>
      <c r="H251" s="50" t="n"/>
      <c r="I251" s="50" t="n"/>
      <c r="J251" s="50" t="n"/>
      <c r="K251" s="51" t="n"/>
      <c r="L251" s="51" t="n"/>
      <c r="M251" s="51" t="n"/>
      <c r="N251" s="50" t="n"/>
      <c r="O251" s="49">
        <f>IF($E251="","",IFERROR(INDEX(Tipos!$C$5:$C$51,MATCH($E251,Tipos!$A$5:$A$51,0)),"Tipo não encontrado"))</f>
        <v/>
      </c>
      <c r="P251" s="49">
        <f>IF($E251="","",IFERROR(INDEX(Tipos!$D$5:$D$51,MATCH($E251,Tipos!$A$5:$A$51,0)),""))</f>
        <v/>
      </c>
      <c r="Q251" s="49">
        <f>IF(COUNTA($B251:$F251)=0,"",IF($B251="","Falta Área",IF($C251="","Falta Setor",IF($D251="","Falta Equipamento",IF($E251="","Falta Tipo",IF($F251="","Falta Categoria",IF(COUNTIF($D$4:$D$303,$D251)&gt;1,"Nome repetido: diferencie (01, 02…)",IF(AND(ISNUMBER(SEARCH("Temperatura",$P251)),OR($L251="",$M251="")),"Falta faixa de temperatura",IF(AND(ISNUMBER($L251),ISNUMBER($M251),$L251&gt;$M251),"Temp. mínima maior que a máxima","OK")))))))))</f>
        <v/>
      </c>
      <c r="R251" s="49">
        <f>IF($E251="","",IFERROR(INDEX(Tipos!$B$5:$B$51,MATCH($E251,Tipos!$A$5:$A$51,0)),""))</f>
        <v/>
      </c>
    </row>
    <row r="252" ht="15" customHeight="1" s="33">
      <c r="A252" s="50" t="inlineStr">
        <is>
          <t>RioMar Recife</t>
        </is>
      </c>
      <c r="B252" s="50" t="n"/>
      <c r="C252" s="50" t="n"/>
      <c r="D252" s="50" t="n"/>
      <c r="E252" s="50" t="n"/>
      <c r="F252" s="50" t="n"/>
      <c r="G252" s="50" t="n"/>
      <c r="H252" s="50" t="n"/>
      <c r="I252" s="50" t="n"/>
      <c r="J252" s="50" t="n"/>
      <c r="K252" s="51" t="n"/>
      <c r="L252" s="51" t="n"/>
      <c r="M252" s="51" t="n"/>
      <c r="N252" s="50" t="n"/>
      <c r="O252" s="49">
        <f>IF($E252="","",IFERROR(INDEX(Tipos!$C$5:$C$51,MATCH($E252,Tipos!$A$5:$A$51,0)),"Tipo não encontrado"))</f>
        <v/>
      </c>
      <c r="P252" s="49">
        <f>IF($E252="","",IFERROR(INDEX(Tipos!$D$5:$D$51,MATCH($E252,Tipos!$A$5:$A$51,0)),""))</f>
        <v/>
      </c>
      <c r="Q252" s="49">
        <f>IF(COUNTA($B252:$F252)=0,"",IF($B252="","Falta Área",IF($C252="","Falta Setor",IF($D252="","Falta Equipamento",IF($E252="","Falta Tipo",IF($F252="","Falta Categoria",IF(COUNTIF($D$4:$D$303,$D252)&gt;1,"Nome repetido: diferencie (01, 02…)",IF(AND(ISNUMBER(SEARCH("Temperatura",$P252)),OR($L252="",$M252="")),"Falta faixa de temperatura",IF(AND(ISNUMBER($L252),ISNUMBER($M252),$L252&gt;$M252),"Temp. mínima maior que a máxima","OK")))))))))</f>
        <v/>
      </c>
      <c r="R252" s="49">
        <f>IF($E252="","",IFERROR(INDEX(Tipos!$B$5:$B$51,MATCH($E252,Tipos!$A$5:$A$51,0)),""))</f>
        <v/>
      </c>
    </row>
    <row r="253" ht="15" customHeight="1" s="33">
      <c r="A253" s="50" t="inlineStr">
        <is>
          <t>RioMar Recife</t>
        </is>
      </c>
      <c r="B253" s="50" t="n"/>
      <c r="C253" s="50" t="n"/>
      <c r="D253" s="50" t="n"/>
      <c r="E253" s="50" t="n"/>
      <c r="F253" s="50" t="n"/>
      <c r="G253" s="50" t="n"/>
      <c r="H253" s="50" t="n"/>
      <c r="I253" s="50" t="n"/>
      <c r="J253" s="50" t="n"/>
      <c r="K253" s="51" t="n"/>
      <c r="L253" s="51" t="n"/>
      <c r="M253" s="51" t="n"/>
      <c r="N253" s="50" t="n"/>
      <c r="O253" s="49">
        <f>IF($E253="","",IFERROR(INDEX(Tipos!$C$5:$C$51,MATCH($E253,Tipos!$A$5:$A$51,0)),"Tipo não encontrado"))</f>
        <v/>
      </c>
      <c r="P253" s="49">
        <f>IF($E253="","",IFERROR(INDEX(Tipos!$D$5:$D$51,MATCH($E253,Tipos!$A$5:$A$51,0)),""))</f>
        <v/>
      </c>
      <c r="Q253" s="49">
        <f>IF(COUNTA($B253:$F253)=0,"",IF($B253="","Falta Área",IF($C253="","Falta Setor",IF($D253="","Falta Equipamento",IF($E253="","Falta Tipo",IF($F253="","Falta Categoria",IF(COUNTIF($D$4:$D$303,$D253)&gt;1,"Nome repetido: diferencie (01, 02…)",IF(AND(ISNUMBER(SEARCH("Temperatura",$P253)),OR($L253="",$M253="")),"Falta faixa de temperatura",IF(AND(ISNUMBER($L253),ISNUMBER($M253),$L253&gt;$M253),"Temp. mínima maior que a máxima","OK")))))))))</f>
        <v/>
      </c>
      <c r="R253" s="49">
        <f>IF($E253="","",IFERROR(INDEX(Tipos!$B$5:$B$51,MATCH($E253,Tipos!$A$5:$A$51,0)),""))</f>
        <v/>
      </c>
    </row>
    <row r="254" ht="15" customHeight="1" s="33">
      <c r="A254" s="50" t="inlineStr">
        <is>
          <t>RioMar Recife</t>
        </is>
      </c>
      <c r="B254" s="50" t="n"/>
      <c r="C254" s="50" t="n"/>
      <c r="D254" s="50" t="n"/>
      <c r="E254" s="50" t="n"/>
      <c r="F254" s="50" t="n"/>
      <c r="G254" s="50" t="n"/>
      <c r="H254" s="50" t="n"/>
      <c r="I254" s="50" t="n"/>
      <c r="J254" s="50" t="n"/>
      <c r="K254" s="51" t="n"/>
      <c r="L254" s="51" t="n"/>
      <c r="M254" s="51" t="n"/>
      <c r="N254" s="50" t="n"/>
      <c r="O254" s="49">
        <f>IF($E254="","",IFERROR(INDEX(Tipos!$C$5:$C$51,MATCH($E254,Tipos!$A$5:$A$51,0)),"Tipo não encontrado"))</f>
        <v/>
      </c>
      <c r="P254" s="49">
        <f>IF($E254="","",IFERROR(INDEX(Tipos!$D$5:$D$51,MATCH($E254,Tipos!$A$5:$A$51,0)),""))</f>
        <v/>
      </c>
      <c r="Q254" s="49">
        <f>IF(COUNTA($B254:$F254)=0,"",IF($B254="","Falta Área",IF($C254="","Falta Setor",IF($D254="","Falta Equipamento",IF($E254="","Falta Tipo",IF($F254="","Falta Categoria",IF(COUNTIF($D$4:$D$303,$D254)&gt;1,"Nome repetido: diferencie (01, 02…)",IF(AND(ISNUMBER(SEARCH("Temperatura",$P254)),OR($L254="",$M254="")),"Falta faixa de temperatura",IF(AND(ISNUMBER($L254),ISNUMBER($M254),$L254&gt;$M254),"Temp. mínima maior que a máxima","OK")))))))))</f>
        <v/>
      </c>
      <c r="R254" s="49">
        <f>IF($E254="","",IFERROR(INDEX(Tipos!$B$5:$B$51,MATCH($E254,Tipos!$A$5:$A$51,0)),""))</f>
        <v/>
      </c>
    </row>
    <row r="255" ht="15" customHeight="1" s="33">
      <c r="A255" s="50" t="inlineStr">
        <is>
          <t>RioMar Recife</t>
        </is>
      </c>
      <c r="B255" s="50" t="n"/>
      <c r="C255" s="50" t="n"/>
      <c r="D255" s="50" t="n"/>
      <c r="E255" s="50" t="n"/>
      <c r="F255" s="50" t="n"/>
      <c r="G255" s="50" t="n"/>
      <c r="H255" s="50" t="n"/>
      <c r="I255" s="50" t="n"/>
      <c r="J255" s="50" t="n"/>
      <c r="K255" s="51" t="n"/>
      <c r="L255" s="51" t="n"/>
      <c r="M255" s="51" t="n"/>
      <c r="N255" s="50" t="n"/>
      <c r="O255" s="49">
        <f>IF($E255="","",IFERROR(INDEX(Tipos!$C$5:$C$51,MATCH($E255,Tipos!$A$5:$A$51,0)),"Tipo não encontrado"))</f>
        <v/>
      </c>
      <c r="P255" s="49">
        <f>IF($E255="","",IFERROR(INDEX(Tipos!$D$5:$D$51,MATCH($E255,Tipos!$A$5:$A$51,0)),""))</f>
        <v/>
      </c>
      <c r="Q255" s="49">
        <f>IF(COUNTA($B255:$F255)=0,"",IF($B255="","Falta Área",IF($C255="","Falta Setor",IF($D255="","Falta Equipamento",IF($E255="","Falta Tipo",IF($F255="","Falta Categoria",IF(COUNTIF($D$4:$D$303,$D255)&gt;1,"Nome repetido: diferencie (01, 02…)",IF(AND(ISNUMBER(SEARCH("Temperatura",$P255)),OR($L255="",$M255="")),"Falta faixa de temperatura",IF(AND(ISNUMBER($L255),ISNUMBER($M255),$L255&gt;$M255),"Temp. mínima maior que a máxima","OK")))))))))</f>
        <v/>
      </c>
      <c r="R255" s="49">
        <f>IF($E255="","",IFERROR(INDEX(Tipos!$B$5:$B$51,MATCH($E255,Tipos!$A$5:$A$51,0)),""))</f>
        <v/>
      </c>
    </row>
    <row r="256" ht="15" customHeight="1" s="33">
      <c r="A256" s="50" t="inlineStr">
        <is>
          <t>RioMar Recife</t>
        </is>
      </c>
      <c r="B256" s="50" t="n"/>
      <c r="C256" s="50" t="n"/>
      <c r="D256" s="50" t="n"/>
      <c r="E256" s="50" t="n"/>
      <c r="F256" s="50" t="n"/>
      <c r="G256" s="50" t="n"/>
      <c r="H256" s="50" t="n"/>
      <c r="I256" s="50" t="n"/>
      <c r="J256" s="50" t="n"/>
      <c r="K256" s="51" t="n"/>
      <c r="L256" s="51" t="n"/>
      <c r="M256" s="51" t="n"/>
      <c r="N256" s="50" t="n"/>
      <c r="O256" s="49">
        <f>IF($E256="","",IFERROR(INDEX(Tipos!$C$5:$C$51,MATCH($E256,Tipos!$A$5:$A$51,0)),"Tipo não encontrado"))</f>
        <v/>
      </c>
      <c r="P256" s="49">
        <f>IF($E256="","",IFERROR(INDEX(Tipos!$D$5:$D$51,MATCH($E256,Tipos!$A$5:$A$51,0)),""))</f>
        <v/>
      </c>
      <c r="Q256" s="49">
        <f>IF(COUNTA($B256:$F256)=0,"",IF($B256="","Falta Área",IF($C256="","Falta Setor",IF($D256="","Falta Equipamento",IF($E256="","Falta Tipo",IF($F256="","Falta Categoria",IF(COUNTIF($D$4:$D$303,$D256)&gt;1,"Nome repetido: diferencie (01, 02…)",IF(AND(ISNUMBER(SEARCH("Temperatura",$P256)),OR($L256="",$M256="")),"Falta faixa de temperatura",IF(AND(ISNUMBER($L256),ISNUMBER($M256),$L256&gt;$M256),"Temp. mínima maior que a máxima","OK")))))))))</f>
        <v/>
      </c>
      <c r="R256" s="49">
        <f>IF($E256="","",IFERROR(INDEX(Tipos!$B$5:$B$51,MATCH($E256,Tipos!$A$5:$A$51,0)),""))</f>
        <v/>
      </c>
    </row>
    <row r="257" ht="15" customHeight="1" s="33">
      <c r="A257" s="50" t="inlineStr">
        <is>
          <t>RioMar Recife</t>
        </is>
      </c>
      <c r="B257" s="50" t="n"/>
      <c r="C257" s="50" t="n"/>
      <c r="D257" s="50" t="n"/>
      <c r="E257" s="50" t="n"/>
      <c r="F257" s="50" t="n"/>
      <c r="G257" s="50" t="n"/>
      <c r="H257" s="50" t="n"/>
      <c r="I257" s="50" t="n"/>
      <c r="J257" s="50" t="n"/>
      <c r="K257" s="51" t="n"/>
      <c r="L257" s="51" t="n"/>
      <c r="M257" s="51" t="n"/>
      <c r="N257" s="50" t="n"/>
      <c r="O257" s="49">
        <f>IF($E257="","",IFERROR(INDEX(Tipos!$C$5:$C$51,MATCH($E257,Tipos!$A$5:$A$51,0)),"Tipo não encontrado"))</f>
        <v/>
      </c>
      <c r="P257" s="49">
        <f>IF($E257="","",IFERROR(INDEX(Tipos!$D$5:$D$51,MATCH($E257,Tipos!$A$5:$A$51,0)),""))</f>
        <v/>
      </c>
      <c r="Q257" s="49">
        <f>IF(COUNTA($B257:$F257)=0,"",IF($B257="","Falta Área",IF($C257="","Falta Setor",IF($D257="","Falta Equipamento",IF($E257="","Falta Tipo",IF($F257="","Falta Categoria",IF(COUNTIF($D$4:$D$303,$D257)&gt;1,"Nome repetido: diferencie (01, 02…)",IF(AND(ISNUMBER(SEARCH("Temperatura",$P257)),OR($L257="",$M257="")),"Falta faixa de temperatura",IF(AND(ISNUMBER($L257),ISNUMBER($M257),$L257&gt;$M257),"Temp. mínima maior que a máxima","OK")))))))))</f>
        <v/>
      </c>
      <c r="R257" s="49">
        <f>IF($E257="","",IFERROR(INDEX(Tipos!$B$5:$B$51,MATCH($E257,Tipos!$A$5:$A$51,0)),""))</f>
        <v/>
      </c>
    </row>
    <row r="258" ht="15" customHeight="1" s="33">
      <c r="A258" s="50" t="inlineStr">
        <is>
          <t>RioMar Recife</t>
        </is>
      </c>
      <c r="B258" s="50" t="n"/>
      <c r="C258" s="50" t="n"/>
      <c r="D258" s="50" t="n"/>
      <c r="E258" s="50" t="n"/>
      <c r="F258" s="50" t="n"/>
      <c r="G258" s="50" t="n"/>
      <c r="H258" s="50" t="n"/>
      <c r="I258" s="50" t="n"/>
      <c r="J258" s="50" t="n"/>
      <c r="K258" s="51" t="n"/>
      <c r="L258" s="51" t="n"/>
      <c r="M258" s="51" t="n"/>
      <c r="N258" s="50" t="n"/>
      <c r="O258" s="49">
        <f>IF($E258="","",IFERROR(INDEX(Tipos!$C$5:$C$51,MATCH($E258,Tipos!$A$5:$A$51,0)),"Tipo não encontrado"))</f>
        <v/>
      </c>
      <c r="P258" s="49">
        <f>IF($E258="","",IFERROR(INDEX(Tipos!$D$5:$D$51,MATCH($E258,Tipos!$A$5:$A$51,0)),""))</f>
        <v/>
      </c>
      <c r="Q258" s="49">
        <f>IF(COUNTA($B258:$F258)=0,"",IF($B258="","Falta Área",IF($C258="","Falta Setor",IF($D258="","Falta Equipamento",IF($E258="","Falta Tipo",IF($F258="","Falta Categoria",IF(COUNTIF($D$4:$D$303,$D258)&gt;1,"Nome repetido: diferencie (01, 02…)",IF(AND(ISNUMBER(SEARCH("Temperatura",$P258)),OR($L258="",$M258="")),"Falta faixa de temperatura",IF(AND(ISNUMBER($L258),ISNUMBER($M258),$L258&gt;$M258),"Temp. mínima maior que a máxima","OK")))))))))</f>
        <v/>
      </c>
      <c r="R258" s="49">
        <f>IF($E258="","",IFERROR(INDEX(Tipos!$B$5:$B$51,MATCH($E258,Tipos!$A$5:$A$51,0)),""))</f>
        <v/>
      </c>
    </row>
    <row r="259" ht="15" customHeight="1" s="33">
      <c r="A259" s="50" t="inlineStr">
        <is>
          <t>RioMar Recife</t>
        </is>
      </c>
      <c r="B259" s="50" t="n"/>
      <c r="C259" s="50" t="n"/>
      <c r="D259" s="50" t="n"/>
      <c r="E259" s="50" t="n"/>
      <c r="F259" s="50" t="n"/>
      <c r="G259" s="50" t="n"/>
      <c r="H259" s="50" t="n"/>
      <c r="I259" s="50" t="n"/>
      <c r="J259" s="50" t="n"/>
      <c r="K259" s="51" t="n"/>
      <c r="L259" s="51" t="n"/>
      <c r="M259" s="51" t="n"/>
      <c r="N259" s="50" t="n"/>
      <c r="O259" s="49">
        <f>IF($E259="","",IFERROR(INDEX(Tipos!$C$5:$C$51,MATCH($E259,Tipos!$A$5:$A$51,0)),"Tipo não encontrado"))</f>
        <v/>
      </c>
      <c r="P259" s="49">
        <f>IF($E259="","",IFERROR(INDEX(Tipos!$D$5:$D$51,MATCH($E259,Tipos!$A$5:$A$51,0)),""))</f>
        <v/>
      </c>
      <c r="Q259" s="49">
        <f>IF(COUNTA($B259:$F259)=0,"",IF($B259="","Falta Área",IF($C259="","Falta Setor",IF($D259="","Falta Equipamento",IF($E259="","Falta Tipo",IF($F259="","Falta Categoria",IF(COUNTIF($D$4:$D$303,$D259)&gt;1,"Nome repetido: diferencie (01, 02…)",IF(AND(ISNUMBER(SEARCH("Temperatura",$P259)),OR($L259="",$M259="")),"Falta faixa de temperatura",IF(AND(ISNUMBER($L259),ISNUMBER($M259),$L259&gt;$M259),"Temp. mínima maior que a máxima","OK")))))))))</f>
        <v/>
      </c>
      <c r="R259" s="49">
        <f>IF($E259="","",IFERROR(INDEX(Tipos!$B$5:$B$51,MATCH($E259,Tipos!$A$5:$A$51,0)),""))</f>
        <v/>
      </c>
    </row>
    <row r="260" ht="15" customHeight="1" s="33">
      <c r="A260" s="50" t="inlineStr">
        <is>
          <t>RioMar Recife</t>
        </is>
      </c>
      <c r="B260" s="50" t="n"/>
      <c r="C260" s="50" t="n"/>
      <c r="D260" s="50" t="n"/>
      <c r="E260" s="50" t="n"/>
      <c r="F260" s="50" t="n"/>
      <c r="G260" s="50" t="n"/>
      <c r="H260" s="50" t="n"/>
      <c r="I260" s="50" t="n"/>
      <c r="J260" s="50" t="n"/>
      <c r="K260" s="51" t="n"/>
      <c r="L260" s="51" t="n"/>
      <c r="M260" s="51" t="n"/>
      <c r="N260" s="50" t="n"/>
      <c r="O260" s="49">
        <f>IF($E260="","",IFERROR(INDEX(Tipos!$C$5:$C$51,MATCH($E260,Tipos!$A$5:$A$51,0)),"Tipo não encontrado"))</f>
        <v/>
      </c>
      <c r="P260" s="49">
        <f>IF($E260="","",IFERROR(INDEX(Tipos!$D$5:$D$51,MATCH($E260,Tipos!$A$5:$A$51,0)),""))</f>
        <v/>
      </c>
      <c r="Q260" s="49">
        <f>IF(COUNTA($B260:$F260)=0,"",IF($B260="","Falta Área",IF($C260="","Falta Setor",IF($D260="","Falta Equipamento",IF($E260="","Falta Tipo",IF($F260="","Falta Categoria",IF(COUNTIF($D$4:$D$303,$D260)&gt;1,"Nome repetido: diferencie (01, 02…)",IF(AND(ISNUMBER(SEARCH("Temperatura",$P260)),OR($L260="",$M260="")),"Falta faixa de temperatura",IF(AND(ISNUMBER($L260),ISNUMBER($M260),$L260&gt;$M260),"Temp. mínima maior que a máxima","OK")))))))))</f>
        <v/>
      </c>
      <c r="R260" s="49">
        <f>IF($E260="","",IFERROR(INDEX(Tipos!$B$5:$B$51,MATCH($E260,Tipos!$A$5:$A$51,0)),""))</f>
        <v/>
      </c>
    </row>
    <row r="261" ht="15" customHeight="1" s="33">
      <c r="A261" s="50" t="inlineStr">
        <is>
          <t>RioMar Recife</t>
        </is>
      </c>
      <c r="B261" s="50" t="n"/>
      <c r="C261" s="50" t="n"/>
      <c r="D261" s="50" t="n"/>
      <c r="E261" s="50" t="n"/>
      <c r="F261" s="50" t="n"/>
      <c r="G261" s="50" t="n"/>
      <c r="H261" s="50" t="n"/>
      <c r="I261" s="50" t="n"/>
      <c r="J261" s="50" t="n"/>
      <c r="K261" s="51" t="n"/>
      <c r="L261" s="51" t="n"/>
      <c r="M261" s="51" t="n"/>
      <c r="N261" s="50" t="n"/>
      <c r="O261" s="49">
        <f>IF($E261="","",IFERROR(INDEX(Tipos!$C$5:$C$51,MATCH($E261,Tipos!$A$5:$A$51,0)),"Tipo não encontrado"))</f>
        <v/>
      </c>
      <c r="P261" s="49">
        <f>IF($E261="","",IFERROR(INDEX(Tipos!$D$5:$D$51,MATCH($E261,Tipos!$A$5:$A$51,0)),""))</f>
        <v/>
      </c>
      <c r="Q261" s="49">
        <f>IF(COUNTA($B261:$F261)=0,"",IF($B261="","Falta Área",IF($C261="","Falta Setor",IF($D261="","Falta Equipamento",IF($E261="","Falta Tipo",IF($F261="","Falta Categoria",IF(COUNTIF($D$4:$D$303,$D261)&gt;1,"Nome repetido: diferencie (01, 02…)",IF(AND(ISNUMBER(SEARCH("Temperatura",$P261)),OR($L261="",$M261="")),"Falta faixa de temperatura",IF(AND(ISNUMBER($L261),ISNUMBER($M261),$L261&gt;$M261),"Temp. mínima maior que a máxima","OK")))))))))</f>
        <v/>
      </c>
      <c r="R261" s="49">
        <f>IF($E261="","",IFERROR(INDEX(Tipos!$B$5:$B$51,MATCH($E261,Tipos!$A$5:$A$51,0)),""))</f>
        <v/>
      </c>
    </row>
    <row r="262" ht="15" customHeight="1" s="33">
      <c r="A262" s="50" t="inlineStr">
        <is>
          <t>RioMar Recife</t>
        </is>
      </c>
      <c r="B262" s="50" t="n"/>
      <c r="C262" s="50" t="n"/>
      <c r="D262" s="50" t="n"/>
      <c r="E262" s="50" t="n"/>
      <c r="F262" s="50" t="n"/>
      <c r="G262" s="50" t="n"/>
      <c r="H262" s="50" t="n"/>
      <c r="I262" s="50" t="n"/>
      <c r="J262" s="50" t="n"/>
      <c r="K262" s="51" t="n"/>
      <c r="L262" s="51" t="n"/>
      <c r="M262" s="51" t="n"/>
      <c r="N262" s="50" t="n"/>
      <c r="O262" s="49">
        <f>IF($E262="","",IFERROR(INDEX(Tipos!$C$5:$C$51,MATCH($E262,Tipos!$A$5:$A$51,0)),"Tipo não encontrado"))</f>
        <v/>
      </c>
      <c r="P262" s="49">
        <f>IF($E262="","",IFERROR(INDEX(Tipos!$D$5:$D$51,MATCH($E262,Tipos!$A$5:$A$51,0)),""))</f>
        <v/>
      </c>
      <c r="Q262" s="49">
        <f>IF(COUNTA($B262:$F262)=0,"",IF($B262="","Falta Área",IF($C262="","Falta Setor",IF($D262="","Falta Equipamento",IF($E262="","Falta Tipo",IF($F262="","Falta Categoria",IF(COUNTIF($D$4:$D$303,$D262)&gt;1,"Nome repetido: diferencie (01, 02…)",IF(AND(ISNUMBER(SEARCH("Temperatura",$P262)),OR($L262="",$M262="")),"Falta faixa de temperatura",IF(AND(ISNUMBER($L262),ISNUMBER($M262),$L262&gt;$M262),"Temp. mínima maior que a máxima","OK")))))))))</f>
        <v/>
      </c>
      <c r="R262" s="49">
        <f>IF($E262="","",IFERROR(INDEX(Tipos!$B$5:$B$51,MATCH($E262,Tipos!$A$5:$A$51,0)),""))</f>
        <v/>
      </c>
    </row>
    <row r="263" ht="15" customHeight="1" s="33">
      <c r="A263" s="50" t="inlineStr">
        <is>
          <t>RioMar Recife</t>
        </is>
      </c>
      <c r="B263" s="50" t="n"/>
      <c r="C263" s="50" t="n"/>
      <c r="D263" s="50" t="n"/>
      <c r="E263" s="50" t="n"/>
      <c r="F263" s="50" t="n"/>
      <c r="G263" s="50" t="n"/>
      <c r="H263" s="50" t="n"/>
      <c r="I263" s="50" t="n"/>
      <c r="J263" s="50" t="n"/>
      <c r="K263" s="51" t="n"/>
      <c r="L263" s="51" t="n"/>
      <c r="M263" s="51" t="n"/>
      <c r="N263" s="50" t="n"/>
      <c r="O263" s="49">
        <f>IF($E263="","",IFERROR(INDEX(Tipos!$C$5:$C$51,MATCH($E263,Tipos!$A$5:$A$51,0)),"Tipo não encontrado"))</f>
        <v/>
      </c>
      <c r="P263" s="49">
        <f>IF($E263="","",IFERROR(INDEX(Tipos!$D$5:$D$51,MATCH($E263,Tipos!$A$5:$A$51,0)),""))</f>
        <v/>
      </c>
      <c r="Q263" s="49">
        <f>IF(COUNTA($B263:$F263)=0,"",IF($B263="","Falta Área",IF($C263="","Falta Setor",IF($D263="","Falta Equipamento",IF($E263="","Falta Tipo",IF($F263="","Falta Categoria",IF(COUNTIF($D$4:$D$303,$D263)&gt;1,"Nome repetido: diferencie (01, 02…)",IF(AND(ISNUMBER(SEARCH("Temperatura",$P263)),OR($L263="",$M263="")),"Falta faixa de temperatura",IF(AND(ISNUMBER($L263),ISNUMBER($M263),$L263&gt;$M263),"Temp. mínima maior que a máxima","OK")))))))))</f>
        <v/>
      </c>
      <c r="R263" s="49">
        <f>IF($E263="","",IFERROR(INDEX(Tipos!$B$5:$B$51,MATCH($E263,Tipos!$A$5:$A$51,0)),""))</f>
        <v/>
      </c>
    </row>
    <row r="264" ht="15" customHeight="1" s="33">
      <c r="A264" s="50" t="inlineStr">
        <is>
          <t>RioMar Recife</t>
        </is>
      </c>
      <c r="B264" s="50" t="n"/>
      <c r="C264" s="50" t="n"/>
      <c r="D264" s="50" t="n"/>
      <c r="E264" s="50" t="n"/>
      <c r="F264" s="50" t="n"/>
      <c r="G264" s="50" t="n"/>
      <c r="H264" s="50" t="n"/>
      <c r="I264" s="50" t="n"/>
      <c r="J264" s="50" t="n"/>
      <c r="K264" s="51" t="n"/>
      <c r="L264" s="51" t="n"/>
      <c r="M264" s="51" t="n"/>
      <c r="N264" s="50" t="n"/>
      <c r="O264" s="49">
        <f>IF($E264="","",IFERROR(INDEX(Tipos!$C$5:$C$51,MATCH($E264,Tipos!$A$5:$A$51,0)),"Tipo não encontrado"))</f>
        <v/>
      </c>
      <c r="P264" s="49">
        <f>IF($E264="","",IFERROR(INDEX(Tipos!$D$5:$D$51,MATCH($E264,Tipos!$A$5:$A$51,0)),""))</f>
        <v/>
      </c>
      <c r="Q264" s="49">
        <f>IF(COUNTA($B264:$F264)=0,"",IF($B264="","Falta Área",IF($C264="","Falta Setor",IF($D264="","Falta Equipamento",IF($E264="","Falta Tipo",IF($F264="","Falta Categoria",IF(COUNTIF($D$4:$D$303,$D264)&gt;1,"Nome repetido: diferencie (01, 02…)",IF(AND(ISNUMBER(SEARCH("Temperatura",$P264)),OR($L264="",$M264="")),"Falta faixa de temperatura",IF(AND(ISNUMBER($L264),ISNUMBER($M264),$L264&gt;$M264),"Temp. mínima maior que a máxima","OK")))))))))</f>
        <v/>
      </c>
      <c r="R264" s="49">
        <f>IF($E264="","",IFERROR(INDEX(Tipos!$B$5:$B$51,MATCH($E264,Tipos!$A$5:$A$51,0)),""))</f>
        <v/>
      </c>
    </row>
    <row r="265" ht="15" customHeight="1" s="33">
      <c r="A265" s="50" t="inlineStr">
        <is>
          <t>RioMar Recife</t>
        </is>
      </c>
      <c r="B265" s="50" t="n"/>
      <c r="C265" s="50" t="n"/>
      <c r="D265" s="50" t="n"/>
      <c r="E265" s="50" t="n"/>
      <c r="F265" s="50" t="n"/>
      <c r="G265" s="50" t="n"/>
      <c r="H265" s="50" t="n"/>
      <c r="I265" s="50" t="n"/>
      <c r="J265" s="50" t="n"/>
      <c r="K265" s="51" t="n"/>
      <c r="L265" s="51" t="n"/>
      <c r="M265" s="51" t="n"/>
      <c r="N265" s="50" t="n"/>
      <c r="O265" s="49">
        <f>IF($E265="","",IFERROR(INDEX(Tipos!$C$5:$C$51,MATCH($E265,Tipos!$A$5:$A$51,0)),"Tipo não encontrado"))</f>
        <v/>
      </c>
      <c r="P265" s="49">
        <f>IF($E265="","",IFERROR(INDEX(Tipos!$D$5:$D$51,MATCH($E265,Tipos!$A$5:$A$51,0)),""))</f>
        <v/>
      </c>
      <c r="Q265" s="49">
        <f>IF(COUNTA($B265:$F265)=0,"",IF($B265="","Falta Área",IF($C265="","Falta Setor",IF($D265="","Falta Equipamento",IF($E265="","Falta Tipo",IF($F265="","Falta Categoria",IF(COUNTIF($D$4:$D$303,$D265)&gt;1,"Nome repetido: diferencie (01, 02…)",IF(AND(ISNUMBER(SEARCH("Temperatura",$P265)),OR($L265="",$M265="")),"Falta faixa de temperatura",IF(AND(ISNUMBER($L265),ISNUMBER($M265),$L265&gt;$M265),"Temp. mínima maior que a máxima","OK")))))))))</f>
        <v/>
      </c>
      <c r="R265" s="49">
        <f>IF($E265="","",IFERROR(INDEX(Tipos!$B$5:$B$51,MATCH($E265,Tipos!$A$5:$A$51,0)),""))</f>
        <v/>
      </c>
    </row>
    <row r="266" ht="15" customHeight="1" s="33">
      <c r="A266" s="50" t="inlineStr">
        <is>
          <t>RioMar Recife</t>
        </is>
      </c>
      <c r="B266" s="50" t="n"/>
      <c r="C266" s="50" t="n"/>
      <c r="D266" s="50" t="n"/>
      <c r="E266" s="50" t="n"/>
      <c r="F266" s="50" t="n"/>
      <c r="G266" s="50" t="n"/>
      <c r="H266" s="50" t="n"/>
      <c r="I266" s="50" t="n"/>
      <c r="J266" s="50" t="n"/>
      <c r="K266" s="51" t="n"/>
      <c r="L266" s="51" t="n"/>
      <c r="M266" s="51" t="n"/>
      <c r="N266" s="50" t="n"/>
      <c r="O266" s="49">
        <f>IF($E266="","",IFERROR(INDEX(Tipos!$C$5:$C$51,MATCH($E266,Tipos!$A$5:$A$51,0)),"Tipo não encontrado"))</f>
        <v/>
      </c>
      <c r="P266" s="49">
        <f>IF($E266="","",IFERROR(INDEX(Tipos!$D$5:$D$51,MATCH($E266,Tipos!$A$5:$A$51,0)),""))</f>
        <v/>
      </c>
      <c r="Q266" s="49">
        <f>IF(COUNTA($B266:$F266)=0,"",IF($B266="","Falta Área",IF($C266="","Falta Setor",IF($D266="","Falta Equipamento",IF($E266="","Falta Tipo",IF($F266="","Falta Categoria",IF(COUNTIF($D$4:$D$303,$D266)&gt;1,"Nome repetido: diferencie (01, 02…)",IF(AND(ISNUMBER(SEARCH("Temperatura",$P266)),OR($L266="",$M266="")),"Falta faixa de temperatura",IF(AND(ISNUMBER($L266),ISNUMBER($M266),$L266&gt;$M266),"Temp. mínima maior que a máxima","OK")))))))))</f>
        <v/>
      </c>
      <c r="R266" s="49">
        <f>IF($E266="","",IFERROR(INDEX(Tipos!$B$5:$B$51,MATCH($E266,Tipos!$A$5:$A$51,0)),""))</f>
        <v/>
      </c>
    </row>
    <row r="267" ht="15" customHeight="1" s="33">
      <c r="A267" s="50" t="inlineStr">
        <is>
          <t>RioMar Recife</t>
        </is>
      </c>
      <c r="B267" s="50" t="n"/>
      <c r="C267" s="50" t="n"/>
      <c r="D267" s="50" t="n"/>
      <c r="E267" s="50" t="n"/>
      <c r="F267" s="50" t="n"/>
      <c r="G267" s="50" t="n"/>
      <c r="H267" s="50" t="n"/>
      <c r="I267" s="50" t="n"/>
      <c r="J267" s="50" t="n"/>
      <c r="K267" s="51" t="n"/>
      <c r="L267" s="51" t="n"/>
      <c r="M267" s="51" t="n"/>
      <c r="N267" s="50" t="n"/>
      <c r="O267" s="49">
        <f>IF($E267="","",IFERROR(INDEX(Tipos!$C$5:$C$51,MATCH($E267,Tipos!$A$5:$A$51,0)),"Tipo não encontrado"))</f>
        <v/>
      </c>
      <c r="P267" s="49">
        <f>IF($E267="","",IFERROR(INDEX(Tipos!$D$5:$D$51,MATCH($E267,Tipos!$A$5:$A$51,0)),""))</f>
        <v/>
      </c>
      <c r="Q267" s="49">
        <f>IF(COUNTA($B267:$F267)=0,"",IF($B267="","Falta Área",IF($C267="","Falta Setor",IF($D267="","Falta Equipamento",IF($E267="","Falta Tipo",IF($F267="","Falta Categoria",IF(COUNTIF($D$4:$D$303,$D267)&gt;1,"Nome repetido: diferencie (01, 02…)",IF(AND(ISNUMBER(SEARCH("Temperatura",$P267)),OR($L267="",$M267="")),"Falta faixa de temperatura",IF(AND(ISNUMBER($L267),ISNUMBER($M267),$L267&gt;$M267),"Temp. mínima maior que a máxima","OK")))))))))</f>
        <v/>
      </c>
      <c r="R267" s="49">
        <f>IF($E267="","",IFERROR(INDEX(Tipos!$B$5:$B$51,MATCH($E267,Tipos!$A$5:$A$51,0)),""))</f>
        <v/>
      </c>
    </row>
    <row r="268" ht="15" customHeight="1" s="33">
      <c r="A268" s="50" t="inlineStr">
        <is>
          <t>RioMar Recife</t>
        </is>
      </c>
      <c r="B268" s="50" t="n"/>
      <c r="C268" s="50" t="n"/>
      <c r="D268" s="50" t="n"/>
      <c r="E268" s="50" t="n"/>
      <c r="F268" s="50" t="n"/>
      <c r="G268" s="50" t="n"/>
      <c r="H268" s="50" t="n"/>
      <c r="I268" s="50" t="n"/>
      <c r="J268" s="50" t="n"/>
      <c r="K268" s="51" t="n"/>
      <c r="L268" s="51" t="n"/>
      <c r="M268" s="51" t="n"/>
      <c r="N268" s="50" t="n"/>
      <c r="O268" s="49">
        <f>IF($E268="","",IFERROR(INDEX(Tipos!$C$5:$C$51,MATCH($E268,Tipos!$A$5:$A$51,0)),"Tipo não encontrado"))</f>
        <v/>
      </c>
      <c r="P268" s="49">
        <f>IF($E268="","",IFERROR(INDEX(Tipos!$D$5:$D$51,MATCH($E268,Tipos!$A$5:$A$51,0)),""))</f>
        <v/>
      </c>
      <c r="Q268" s="49">
        <f>IF(COUNTA($B268:$F268)=0,"",IF($B268="","Falta Área",IF($C268="","Falta Setor",IF($D268="","Falta Equipamento",IF($E268="","Falta Tipo",IF($F268="","Falta Categoria",IF(COUNTIF($D$4:$D$303,$D268)&gt;1,"Nome repetido: diferencie (01, 02…)",IF(AND(ISNUMBER(SEARCH("Temperatura",$P268)),OR($L268="",$M268="")),"Falta faixa de temperatura",IF(AND(ISNUMBER($L268),ISNUMBER($M268),$L268&gt;$M268),"Temp. mínima maior que a máxima","OK")))))))))</f>
        <v/>
      </c>
      <c r="R268" s="49">
        <f>IF($E268="","",IFERROR(INDEX(Tipos!$B$5:$B$51,MATCH($E268,Tipos!$A$5:$A$51,0)),""))</f>
        <v/>
      </c>
    </row>
    <row r="269" ht="15" customHeight="1" s="33">
      <c r="A269" s="50" t="inlineStr">
        <is>
          <t>RioMar Recife</t>
        </is>
      </c>
      <c r="B269" s="50" t="n"/>
      <c r="C269" s="50" t="n"/>
      <c r="D269" s="50" t="n"/>
      <c r="E269" s="50" t="n"/>
      <c r="F269" s="50" t="n"/>
      <c r="G269" s="50" t="n"/>
      <c r="H269" s="50" t="n"/>
      <c r="I269" s="50" t="n"/>
      <c r="J269" s="50" t="n"/>
      <c r="K269" s="51" t="n"/>
      <c r="L269" s="51" t="n"/>
      <c r="M269" s="51" t="n"/>
      <c r="N269" s="50" t="n"/>
      <c r="O269" s="49">
        <f>IF($E269="","",IFERROR(INDEX(Tipos!$C$5:$C$51,MATCH($E269,Tipos!$A$5:$A$51,0)),"Tipo não encontrado"))</f>
        <v/>
      </c>
      <c r="P269" s="49">
        <f>IF($E269="","",IFERROR(INDEX(Tipos!$D$5:$D$51,MATCH($E269,Tipos!$A$5:$A$51,0)),""))</f>
        <v/>
      </c>
      <c r="Q269" s="49">
        <f>IF(COUNTA($B269:$F269)=0,"",IF($B269="","Falta Área",IF($C269="","Falta Setor",IF($D269="","Falta Equipamento",IF($E269="","Falta Tipo",IF($F269="","Falta Categoria",IF(COUNTIF($D$4:$D$303,$D269)&gt;1,"Nome repetido: diferencie (01, 02…)",IF(AND(ISNUMBER(SEARCH("Temperatura",$P269)),OR($L269="",$M269="")),"Falta faixa de temperatura",IF(AND(ISNUMBER($L269),ISNUMBER($M269),$L269&gt;$M269),"Temp. mínima maior que a máxima","OK")))))))))</f>
        <v/>
      </c>
      <c r="R269" s="49">
        <f>IF($E269="","",IFERROR(INDEX(Tipos!$B$5:$B$51,MATCH($E269,Tipos!$A$5:$A$51,0)),""))</f>
        <v/>
      </c>
    </row>
    <row r="270" ht="15" customHeight="1" s="33">
      <c r="A270" s="50" t="inlineStr">
        <is>
          <t>RioMar Recife</t>
        </is>
      </c>
      <c r="B270" s="50" t="n"/>
      <c r="C270" s="50" t="n"/>
      <c r="D270" s="50" t="n"/>
      <c r="E270" s="50" t="n"/>
      <c r="F270" s="50" t="n"/>
      <c r="G270" s="50" t="n"/>
      <c r="H270" s="50" t="n"/>
      <c r="I270" s="50" t="n"/>
      <c r="J270" s="50" t="n"/>
      <c r="K270" s="51" t="n"/>
      <c r="L270" s="51" t="n"/>
      <c r="M270" s="51" t="n"/>
      <c r="N270" s="50" t="n"/>
      <c r="O270" s="49">
        <f>IF($E270="","",IFERROR(INDEX(Tipos!$C$5:$C$51,MATCH($E270,Tipos!$A$5:$A$51,0)),"Tipo não encontrado"))</f>
        <v/>
      </c>
      <c r="P270" s="49">
        <f>IF($E270="","",IFERROR(INDEX(Tipos!$D$5:$D$51,MATCH($E270,Tipos!$A$5:$A$51,0)),""))</f>
        <v/>
      </c>
      <c r="Q270" s="49">
        <f>IF(COUNTA($B270:$F270)=0,"",IF($B270="","Falta Área",IF($C270="","Falta Setor",IF($D270="","Falta Equipamento",IF($E270="","Falta Tipo",IF($F270="","Falta Categoria",IF(COUNTIF($D$4:$D$303,$D270)&gt;1,"Nome repetido: diferencie (01, 02…)",IF(AND(ISNUMBER(SEARCH("Temperatura",$P270)),OR($L270="",$M270="")),"Falta faixa de temperatura",IF(AND(ISNUMBER($L270),ISNUMBER($M270),$L270&gt;$M270),"Temp. mínima maior que a máxima","OK")))))))))</f>
        <v/>
      </c>
      <c r="R270" s="49">
        <f>IF($E270="","",IFERROR(INDEX(Tipos!$B$5:$B$51,MATCH($E270,Tipos!$A$5:$A$51,0)),""))</f>
        <v/>
      </c>
    </row>
    <row r="271" ht="15" customHeight="1" s="33">
      <c r="A271" s="50" t="inlineStr">
        <is>
          <t>RioMar Recife</t>
        </is>
      </c>
      <c r="B271" s="50" t="n"/>
      <c r="C271" s="50" t="n"/>
      <c r="D271" s="50" t="n"/>
      <c r="E271" s="50" t="n"/>
      <c r="F271" s="50" t="n"/>
      <c r="G271" s="50" t="n"/>
      <c r="H271" s="50" t="n"/>
      <c r="I271" s="50" t="n"/>
      <c r="J271" s="50" t="n"/>
      <c r="K271" s="51" t="n"/>
      <c r="L271" s="51" t="n"/>
      <c r="M271" s="51" t="n"/>
      <c r="N271" s="50" t="n"/>
      <c r="O271" s="49">
        <f>IF($E271="","",IFERROR(INDEX(Tipos!$C$5:$C$51,MATCH($E271,Tipos!$A$5:$A$51,0)),"Tipo não encontrado"))</f>
        <v/>
      </c>
      <c r="P271" s="49">
        <f>IF($E271="","",IFERROR(INDEX(Tipos!$D$5:$D$51,MATCH($E271,Tipos!$A$5:$A$51,0)),""))</f>
        <v/>
      </c>
      <c r="Q271" s="49">
        <f>IF(COUNTA($B271:$F271)=0,"",IF($B271="","Falta Área",IF($C271="","Falta Setor",IF($D271="","Falta Equipamento",IF($E271="","Falta Tipo",IF($F271="","Falta Categoria",IF(COUNTIF($D$4:$D$303,$D271)&gt;1,"Nome repetido: diferencie (01, 02…)",IF(AND(ISNUMBER(SEARCH("Temperatura",$P271)),OR($L271="",$M271="")),"Falta faixa de temperatura",IF(AND(ISNUMBER($L271),ISNUMBER($M271),$L271&gt;$M271),"Temp. mínima maior que a máxima","OK")))))))))</f>
        <v/>
      </c>
      <c r="R271" s="49">
        <f>IF($E271="","",IFERROR(INDEX(Tipos!$B$5:$B$51,MATCH($E271,Tipos!$A$5:$A$51,0)),""))</f>
        <v/>
      </c>
    </row>
    <row r="272" ht="15" customHeight="1" s="33">
      <c r="A272" s="50" t="inlineStr">
        <is>
          <t>RioMar Recife</t>
        </is>
      </c>
      <c r="B272" s="50" t="n"/>
      <c r="C272" s="50" t="n"/>
      <c r="D272" s="50" t="n"/>
      <c r="E272" s="50" t="n"/>
      <c r="F272" s="50" t="n"/>
      <c r="G272" s="50" t="n"/>
      <c r="H272" s="50" t="n"/>
      <c r="I272" s="50" t="n"/>
      <c r="J272" s="50" t="n"/>
      <c r="K272" s="51" t="n"/>
      <c r="L272" s="51" t="n"/>
      <c r="M272" s="51" t="n"/>
      <c r="N272" s="50" t="n"/>
      <c r="O272" s="49">
        <f>IF($E272="","",IFERROR(INDEX(Tipos!$C$5:$C$51,MATCH($E272,Tipos!$A$5:$A$51,0)),"Tipo não encontrado"))</f>
        <v/>
      </c>
      <c r="P272" s="49">
        <f>IF($E272="","",IFERROR(INDEX(Tipos!$D$5:$D$51,MATCH($E272,Tipos!$A$5:$A$51,0)),""))</f>
        <v/>
      </c>
      <c r="Q272" s="49">
        <f>IF(COUNTA($B272:$F272)=0,"",IF($B272="","Falta Área",IF($C272="","Falta Setor",IF($D272="","Falta Equipamento",IF($E272="","Falta Tipo",IF($F272="","Falta Categoria",IF(COUNTIF($D$4:$D$303,$D272)&gt;1,"Nome repetido: diferencie (01, 02…)",IF(AND(ISNUMBER(SEARCH("Temperatura",$P272)),OR($L272="",$M272="")),"Falta faixa de temperatura",IF(AND(ISNUMBER($L272),ISNUMBER($M272),$L272&gt;$M272),"Temp. mínima maior que a máxima","OK")))))))))</f>
        <v/>
      </c>
      <c r="R272" s="49">
        <f>IF($E272="","",IFERROR(INDEX(Tipos!$B$5:$B$51,MATCH($E272,Tipos!$A$5:$A$51,0)),""))</f>
        <v/>
      </c>
    </row>
    <row r="273" ht="15" customHeight="1" s="33">
      <c r="A273" s="50" t="inlineStr">
        <is>
          <t>RioMar Recife</t>
        </is>
      </c>
      <c r="B273" s="50" t="n"/>
      <c r="C273" s="50" t="n"/>
      <c r="D273" s="50" t="n"/>
      <c r="E273" s="50" t="n"/>
      <c r="F273" s="50" t="n"/>
      <c r="G273" s="50" t="n"/>
      <c r="H273" s="50" t="n"/>
      <c r="I273" s="50" t="n"/>
      <c r="J273" s="50" t="n"/>
      <c r="K273" s="51" t="n"/>
      <c r="L273" s="51" t="n"/>
      <c r="M273" s="51" t="n"/>
      <c r="N273" s="50" t="n"/>
      <c r="O273" s="49">
        <f>IF($E273="","",IFERROR(INDEX(Tipos!$C$5:$C$51,MATCH($E273,Tipos!$A$5:$A$51,0)),"Tipo não encontrado"))</f>
        <v/>
      </c>
      <c r="P273" s="49">
        <f>IF($E273="","",IFERROR(INDEX(Tipos!$D$5:$D$51,MATCH($E273,Tipos!$A$5:$A$51,0)),""))</f>
        <v/>
      </c>
      <c r="Q273" s="49">
        <f>IF(COUNTA($B273:$F273)=0,"",IF($B273="","Falta Área",IF($C273="","Falta Setor",IF($D273="","Falta Equipamento",IF($E273="","Falta Tipo",IF($F273="","Falta Categoria",IF(COUNTIF($D$4:$D$303,$D273)&gt;1,"Nome repetido: diferencie (01, 02…)",IF(AND(ISNUMBER(SEARCH("Temperatura",$P273)),OR($L273="",$M273="")),"Falta faixa de temperatura",IF(AND(ISNUMBER($L273),ISNUMBER($M273),$L273&gt;$M273),"Temp. mínima maior que a máxima","OK")))))))))</f>
        <v/>
      </c>
      <c r="R273" s="49">
        <f>IF($E273="","",IFERROR(INDEX(Tipos!$B$5:$B$51,MATCH($E273,Tipos!$A$5:$A$51,0)),""))</f>
        <v/>
      </c>
    </row>
    <row r="274" ht="15" customHeight="1" s="33">
      <c r="A274" s="50" t="inlineStr">
        <is>
          <t>RioMar Recife</t>
        </is>
      </c>
      <c r="B274" s="50" t="n"/>
      <c r="C274" s="50" t="n"/>
      <c r="D274" s="50" t="n"/>
      <c r="E274" s="50" t="n"/>
      <c r="F274" s="50" t="n"/>
      <c r="G274" s="50" t="n"/>
      <c r="H274" s="50" t="n"/>
      <c r="I274" s="50" t="n"/>
      <c r="J274" s="50" t="n"/>
      <c r="K274" s="51" t="n"/>
      <c r="L274" s="51" t="n"/>
      <c r="M274" s="51" t="n"/>
      <c r="N274" s="50" t="n"/>
      <c r="O274" s="49">
        <f>IF($E274="","",IFERROR(INDEX(Tipos!$C$5:$C$51,MATCH($E274,Tipos!$A$5:$A$51,0)),"Tipo não encontrado"))</f>
        <v/>
      </c>
      <c r="P274" s="49">
        <f>IF($E274="","",IFERROR(INDEX(Tipos!$D$5:$D$51,MATCH($E274,Tipos!$A$5:$A$51,0)),""))</f>
        <v/>
      </c>
      <c r="Q274" s="49">
        <f>IF(COUNTA($B274:$F274)=0,"",IF($B274="","Falta Área",IF($C274="","Falta Setor",IF($D274="","Falta Equipamento",IF($E274="","Falta Tipo",IF($F274="","Falta Categoria",IF(COUNTIF($D$4:$D$303,$D274)&gt;1,"Nome repetido: diferencie (01, 02…)",IF(AND(ISNUMBER(SEARCH("Temperatura",$P274)),OR($L274="",$M274="")),"Falta faixa de temperatura",IF(AND(ISNUMBER($L274),ISNUMBER($M274),$L274&gt;$M274),"Temp. mínima maior que a máxima","OK")))))))))</f>
        <v/>
      </c>
      <c r="R274" s="49">
        <f>IF($E274="","",IFERROR(INDEX(Tipos!$B$5:$B$51,MATCH($E274,Tipos!$A$5:$A$51,0)),""))</f>
        <v/>
      </c>
    </row>
    <row r="275" ht="15" customHeight="1" s="33">
      <c r="A275" s="50" t="inlineStr">
        <is>
          <t>RioMar Recife</t>
        </is>
      </c>
      <c r="B275" s="50" t="n"/>
      <c r="C275" s="50" t="n"/>
      <c r="D275" s="50" t="n"/>
      <c r="E275" s="50" t="n"/>
      <c r="F275" s="50" t="n"/>
      <c r="G275" s="50" t="n"/>
      <c r="H275" s="50" t="n"/>
      <c r="I275" s="50" t="n"/>
      <c r="J275" s="50" t="n"/>
      <c r="K275" s="51" t="n"/>
      <c r="L275" s="51" t="n"/>
      <c r="M275" s="51" t="n"/>
      <c r="N275" s="50" t="n"/>
      <c r="O275" s="49">
        <f>IF($E275="","",IFERROR(INDEX(Tipos!$C$5:$C$51,MATCH($E275,Tipos!$A$5:$A$51,0)),"Tipo não encontrado"))</f>
        <v/>
      </c>
      <c r="P275" s="49">
        <f>IF($E275="","",IFERROR(INDEX(Tipos!$D$5:$D$51,MATCH($E275,Tipos!$A$5:$A$51,0)),""))</f>
        <v/>
      </c>
      <c r="Q275" s="49">
        <f>IF(COUNTA($B275:$F275)=0,"",IF($B275="","Falta Área",IF($C275="","Falta Setor",IF($D275="","Falta Equipamento",IF($E275="","Falta Tipo",IF($F275="","Falta Categoria",IF(COUNTIF($D$4:$D$303,$D275)&gt;1,"Nome repetido: diferencie (01, 02…)",IF(AND(ISNUMBER(SEARCH("Temperatura",$P275)),OR($L275="",$M275="")),"Falta faixa de temperatura",IF(AND(ISNUMBER($L275),ISNUMBER($M275),$L275&gt;$M275),"Temp. mínima maior que a máxima","OK")))))))))</f>
        <v/>
      </c>
      <c r="R275" s="49">
        <f>IF($E275="","",IFERROR(INDEX(Tipos!$B$5:$B$51,MATCH($E275,Tipos!$A$5:$A$51,0)),""))</f>
        <v/>
      </c>
    </row>
    <row r="276" ht="15" customHeight="1" s="33">
      <c r="A276" s="50" t="inlineStr">
        <is>
          <t>RioMar Recife</t>
        </is>
      </c>
      <c r="B276" s="50" t="n"/>
      <c r="C276" s="50" t="n"/>
      <c r="D276" s="50" t="n"/>
      <c r="E276" s="50" t="n"/>
      <c r="F276" s="50" t="n"/>
      <c r="G276" s="50" t="n"/>
      <c r="H276" s="50" t="n"/>
      <c r="I276" s="50" t="n"/>
      <c r="J276" s="50" t="n"/>
      <c r="K276" s="51" t="n"/>
      <c r="L276" s="51" t="n"/>
      <c r="M276" s="51" t="n"/>
      <c r="N276" s="50" t="n"/>
      <c r="O276" s="49">
        <f>IF($E276="","",IFERROR(INDEX(Tipos!$C$5:$C$51,MATCH($E276,Tipos!$A$5:$A$51,0)),"Tipo não encontrado"))</f>
        <v/>
      </c>
      <c r="P276" s="49">
        <f>IF($E276="","",IFERROR(INDEX(Tipos!$D$5:$D$51,MATCH($E276,Tipos!$A$5:$A$51,0)),""))</f>
        <v/>
      </c>
      <c r="Q276" s="49">
        <f>IF(COUNTA($B276:$F276)=0,"",IF($B276="","Falta Área",IF($C276="","Falta Setor",IF($D276="","Falta Equipamento",IF($E276="","Falta Tipo",IF($F276="","Falta Categoria",IF(COUNTIF($D$4:$D$303,$D276)&gt;1,"Nome repetido: diferencie (01, 02…)",IF(AND(ISNUMBER(SEARCH("Temperatura",$P276)),OR($L276="",$M276="")),"Falta faixa de temperatura",IF(AND(ISNUMBER($L276),ISNUMBER($M276),$L276&gt;$M276),"Temp. mínima maior que a máxima","OK")))))))))</f>
        <v/>
      </c>
      <c r="R276" s="49">
        <f>IF($E276="","",IFERROR(INDEX(Tipos!$B$5:$B$51,MATCH($E276,Tipos!$A$5:$A$51,0)),""))</f>
        <v/>
      </c>
    </row>
    <row r="277" ht="15" customHeight="1" s="33">
      <c r="A277" s="50" t="inlineStr">
        <is>
          <t>RioMar Recife</t>
        </is>
      </c>
      <c r="B277" s="50" t="n"/>
      <c r="C277" s="50" t="n"/>
      <c r="D277" s="50" t="n"/>
      <c r="E277" s="50" t="n"/>
      <c r="F277" s="50" t="n"/>
      <c r="G277" s="50" t="n"/>
      <c r="H277" s="50" t="n"/>
      <c r="I277" s="50" t="n"/>
      <c r="J277" s="50" t="n"/>
      <c r="K277" s="51" t="n"/>
      <c r="L277" s="51" t="n"/>
      <c r="M277" s="51" t="n"/>
      <c r="N277" s="50" t="n"/>
      <c r="O277" s="49">
        <f>IF($E277="","",IFERROR(INDEX(Tipos!$C$5:$C$51,MATCH($E277,Tipos!$A$5:$A$51,0)),"Tipo não encontrado"))</f>
        <v/>
      </c>
      <c r="P277" s="49">
        <f>IF($E277="","",IFERROR(INDEX(Tipos!$D$5:$D$51,MATCH($E277,Tipos!$A$5:$A$51,0)),""))</f>
        <v/>
      </c>
      <c r="Q277" s="49">
        <f>IF(COUNTA($B277:$F277)=0,"",IF($B277="","Falta Área",IF($C277="","Falta Setor",IF($D277="","Falta Equipamento",IF($E277="","Falta Tipo",IF($F277="","Falta Categoria",IF(COUNTIF($D$4:$D$303,$D277)&gt;1,"Nome repetido: diferencie (01, 02…)",IF(AND(ISNUMBER(SEARCH("Temperatura",$P277)),OR($L277="",$M277="")),"Falta faixa de temperatura",IF(AND(ISNUMBER($L277),ISNUMBER($M277),$L277&gt;$M277),"Temp. mínima maior que a máxima","OK")))))))))</f>
        <v/>
      </c>
      <c r="R277" s="49">
        <f>IF($E277="","",IFERROR(INDEX(Tipos!$B$5:$B$51,MATCH($E277,Tipos!$A$5:$A$51,0)),""))</f>
        <v/>
      </c>
    </row>
    <row r="278" ht="15" customHeight="1" s="33">
      <c r="A278" s="50" t="inlineStr">
        <is>
          <t>RioMar Recife</t>
        </is>
      </c>
      <c r="B278" s="50" t="n"/>
      <c r="C278" s="50" t="n"/>
      <c r="D278" s="50" t="n"/>
      <c r="E278" s="50" t="n"/>
      <c r="F278" s="50" t="n"/>
      <c r="G278" s="50" t="n"/>
      <c r="H278" s="50" t="n"/>
      <c r="I278" s="50" t="n"/>
      <c r="J278" s="50" t="n"/>
      <c r="K278" s="51" t="n"/>
      <c r="L278" s="51" t="n"/>
      <c r="M278" s="51" t="n"/>
      <c r="N278" s="50" t="n"/>
      <c r="O278" s="49">
        <f>IF($E278="","",IFERROR(INDEX(Tipos!$C$5:$C$51,MATCH($E278,Tipos!$A$5:$A$51,0)),"Tipo não encontrado"))</f>
        <v/>
      </c>
      <c r="P278" s="49">
        <f>IF($E278="","",IFERROR(INDEX(Tipos!$D$5:$D$51,MATCH($E278,Tipos!$A$5:$A$51,0)),""))</f>
        <v/>
      </c>
      <c r="Q278" s="49">
        <f>IF(COUNTA($B278:$F278)=0,"",IF($B278="","Falta Área",IF($C278="","Falta Setor",IF($D278="","Falta Equipamento",IF($E278="","Falta Tipo",IF($F278="","Falta Categoria",IF(COUNTIF($D$4:$D$303,$D278)&gt;1,"Nome repetido: diferencie (01, 02…)",IF(AND(ISNUMBER(SEARCH("Temperatura",$P278)),OR($L278="",$M278="")),"Falta faixa de temperatura",IF(AND(ISNUMBER($L278),ISNUMBER($M278),$L278&gt;$M278),"Temp. mínima maior que a máxima","OK")))))))))</f>
        <v/>
      </c>
      <c r="R278" s="49">
        <f>IF($E278="","",IFERROR(INDEX(Tipos!$B$5:$B$51,MATCH($E278,Tipos!$A$5:$A$51,0)),""))</f>
        <v/>
      </c>
    </row>
    <row r="279" ht="15" customHeight="1" s="33">
      <c r="A279" s="50" t="inlineStr">
        <is>
          <t>RioMar Recife</t>
        </is>
      </c>
      <c r="B279" s="50" t="n"/>
      <c r="C279" s="50" t="n"/>
      <c r="D279" s="50" t="n"/>
      <c r="E279" s="50" t="n"/>
      <c r="F279" s="50" t="n"/>
      <c r="G279" s="50" t="n"/>
      <c r="H279" s="50" t="n"/>
      <c r="I279" s="50" t="n"/>
      <c r="J279" s="50" t="n"/>
      <c r="K279" s="51" t="n"/>
      <c r="L279" s="51" t="n"/>
      <c r="M279" s="51" t="n"/>
      <c r="N279" s="50" t="n"/>
      <c r="O279" s="49">
        <f>IF($E279="","",IFERROR(INDEX(Tipos!$C$5:$C$51,MATCH($E279,Tipos!$A$5:$A$51,0)),"Tipo não encontrado"))</f>
        <v/>
      </c>
      <c r="P279" s="49">
        <f>IF($E279="","",IFERROR(INDEX(Tipos!$D$5:$D$51,MATCH($E279,Tipos!$A$5:$A$51,0)),""))</f>
        <v/>
      </c>
      <c r="Q279" s="49">
        <f>IF(COUNTA($B279:$F279)=0,"",IF($B279="","Falta Área",IF($C279="","Falta Setor",IF($D279="","Falta Equipamento",IF($E279="","Falta Tipo",IF($F279="","Falta Categoria",IF(COUNTIF($D$4:$D$303,$D279)&gt;1,"Nome repetido: diferencie (01, 02…)",IF(AND(ISNUMBER(SEARCH("Temperatura",$P279)),OR($L279="",$M279="")),"Falta faixa de temperatura",IF(AND(ISNUMBER($L279),ISNUMBER($M279),$L279&gt;$M279),"Temp. mínima maior que a máxima","OK")))))))))</f>
        <v/>
      </c>
      <c r="R279" s="49">
        <f>IF($E279="","",IFERROR(INDEX(Tipos!$B$5:$B$51,MATCH($E279,Tipos!$A$5:$A$51,0)),""))</f>
        <v/>
      </c>
    </row>
    <row r="280" ht="15" customHeight="1" s="33">
      <c r="A280" s="50" t="inlineStr">
        <is>
          <t>RioMar Recife</t>
        </is>
      </c>
      <c r="B280" s="50" t="n"/>
      <c r="C280" s="50" t="n"/>
      <c r="D280" s="50" t="n"/>
      <c r="E280" s="50" t="n"/>
      <c r="F280" s="50" t="n"/>
      <c r="G280" s="50" t="n"/>
      <c r="H280" s="50" t="n"/>
      <c r="I280" s="50" t="n"/>
      <c r="J280" s="50" t="n"/>
      <c r="K280" s="51" t="n"/>
      <c r="L280" s="51" t="n"/>
      <c r="M280" s="51" t="n"/>
      <c r="N280" s="50" t="n"/>
      <c r="O280" s="49">
        <f>IF($E280="","",IFERROR(INDEX(Tipos!$C$5:$C$51,MATCH($E280,Tipos!$A$5:$A$51,0)),"Tipo não encontrado"))</f>
        <v/>
      </c>
      <c r="P280" s="49">
        <f>IF($E280="","",IFERROR(INDEX(Tipos!$D$5:$D$51,MATCH($E280,Tipos!$A$5:$A$51,0)),""))</f>
        <v/>
      </c>
      <c r="Q280" s="49">
        <f>IF(COUNTA($B280:$F280)=0,"",IF($B280="","Falta Área",IF($C280="","Falta Setor",IF($D280="","Falta Equipamento",IF($E280="","Falta Tipo",IF($F280="","Falta Categoria",IF(COUNTIF($D$4:$D$303,$D280)&gt;1,"Nome repetido: diferencie (01, 02…)",IF(AND(ISNUMBER(SEARCH("Temperatura",$P280)),OR($L280="",$M280="")),"Falta faixa de temperatura",IF(AND(ISNUMBER($L280),ISNUMBER($M280),$L280&gt;$M280),"Temp. mínima maior que a máxima","OK")))))))))</f>
        <v/>
      </c>
      <c r="R280" s="49">
        <f>IF($E280="","",IFERROR(INDEX(Tipos!$B$5:$B$51,MATCH($E280,Tipos!$A$5:$A$51,0)),""))</f>
        <v/>
      </c>
    </row>
    <row r="281" ht="15" customHeight="1" s="33">
      <c r="A281" s="50" t="inlineStr">
        <is>
          <t>RioMar Recife</t>
        </is>
      </c>
      <c r="B281" s="50" t="n"/>
      <c r="C281" s="50" t="n"/>
      <c r="D281" s="50" t="n"/>
      <c r="E281" s="50" t="n"/>
      <c r="F281" s="50" t="n"/>
      <c r="G281" s="50" t="n"/>
      <c r="H281" s="50" t="n"/>
      <c r="I281" s="50" t="n"/>
      <c r="J281" s="50" t="n"/>
      <c r="K281" s="51" t="n"/>
      <c r="L281" s="51" t="n"/>
      <c r="M281" s="51" t="n"/>
      <c r="N281" s="50" t="n"/>
      <c r="O281" s="49">
        <f>IF($E281="","",IFERROR(INDEX(Tipos!$C$5:$C$51,MATCH($E281,Tipos!$A$5:$A$51,0)),"Tipo não encontrado"))</f>
        <v/>
      </c>
      <c r="P281" s="49">
        <f>IF($E281="","",IFERROR(INDEX(Tipos!$D$5:$D$51,MATCH($E281,Tipos!$A$5:$A$51,0)),""))</f>
        <v/>
      </c>
      <c r="Q281" s="49">
        <f>IF(COUNTA($B281:$F281)=0,"",IF($B281="","Falta Área",IF($C281="","Falta Setor",IF($D281="","Falta Equipamento",IF($E281="","Falta Tipo",IF($F281="","Falta Categoria",IF(COUNTIF($D$4:$D$303,$D281)&gt;1,"Nome repetido: diferencie (01, 02…)",IF(AND(ISNUMBER(SEARCH("Temperatura",$P281)),OR($L281="",$M281="")),"Falta faixa de temperatura",IF(AND(ISNUMBER($L281),ISNUMBER($M281),$L281&gt;$M281),"Temp. mínima maior que a máxima","OK")))))))))</f>
        <v/>
      </c>
      <c r="R281" s="49">
        <f>IF($E281="","",IFERROR(INDEX(Tipos!$B$5:$B$51,MATCH($E281,Tipos!$A$5:$A$51,0)),""))</f>
        <v/>
      </c>
    </row>
    <row r="282" ht="15" customHeight="1" s="33">
      <c r="A282" s="50" t="inlineStr">
        <is>
          <t>RioMar Recife</t>
        </is>
      </c>
      <c r="B282" s="50" t="n"/>
      <c r="C282" s="50" t="n"/>
      <c r="D282" s="50" t="n"/>
      <c r="E282" s="50" t="n"/>
      <c r="F282" s="50" t="n"/>
      <c r="G282" s="50" t="n"/>
      <c r="H282" s="50" t="n"/>
      <c r="I282" s="50" t="n"/>
      <c r="J282" s="50" t="n"/>
      <c r="K282" s="51" t="n"/>
      <c r="L282" s="51" t="n"/>
      <c r="M282" s="51" t="n"/>
      <c r="N282" s="50" t="n"/>
      <c r="O282" s="49">
        <f>IF($E282="","",IFERROR(INDEX(Tipos!$C$5:$C$51,MATCH($E282,Tipos!$A$5:$A$51,0)),"Tipo não encontrado"))</f>
        <v/>
      </c>
      <c r="P282" s="49">
        <f>IF($E282="","",IFERROR(INDEX(Tipos!$D$5:$D$51,MATCH($E282,Tipos!$A$5:$A$51,0)),""))</f>
        <v/>
      </c>
      <c r="Q282" s="49">
        <f>IF(COUNTA($B282:$F282)=0,"",IF($B282="","Falta Área",IF($C282="","Falta Setor",IF($D282="","Falta Equipamento",IF($E282="","Falta Tipo",IF($F282="","Falta Categoria",IF(COUNTIF($D$4:$D$303,$D282)&gt;1,"Nome repetido: diferencie (01, 02…)",IF(AND(ISNUMBER(SEARCH("Temperatura",$P282)),OR($L282="",$M282="")),"Falta faixa de temperatura",IF(AND(ISNUMBER($L282),ISNUMBER($M282),$L282&gt;$M282),"Temp. mínima maior que a máxima","OK")))))))))</f>
        <v/>
      </c>
      <c r="R282" s="49">
        <f>IF($E282="","",IFERROR(INDEX(Tipos!$B$5:$B$51,MATCH($E282,Tipos!$A$5:$A$51,0)),""))</f>
        <v/>
      </c>
    </row>
    <row r="283" ht="15" customHeight="1" s="33">
      <c r="A283" s="50" t="inlineStr">
        <is>
          <t>RioMar Recife</t>
        </is>
      </c>
      <c r="B283" s="50" t="n"/>
      <c r="C283" s="50" t="n"/>
      <c r="D283" s="50" t="n"/>
      <c r="E283" s="50" t="n"/>
      <c r="F283" s="50" t="n"/>
      <c r="G283" s="50" t="n"/>
      <c r="H283" s="50" t="n"/>
      <c r="I283" s="50" t="n"/>
      <c r="J283" s="50" t="n"/>
      <c r="K283" s="51" t="n"/>
      <c r="L283" s="51" t="n"/>
      <c r="M283" s="51" t="n"/>
      <c r="N283" s="50" t="n"/>
      <c r="O283" s="49">
        <f>IF($E283="","",IFERROR(INDEX(Tipos!$C$5:$C$51,MATCH($E283,Tipos!$A$5:$A$51,0)),"Tipo não encontrado"))</f>
        <v/>
      </c>
      <c r="P283" s="49">
        <f>IF($E283="","",IFERROR(INDEX(Tipos!$D$5:$D$51,MATCH($E283,Tipos!$A$5:$A$51,0)),""))</f>
        <v/>
      </c>
      <c r="Q283" s="49">
        <f>IF(COUNTA($B283:$F283)=0,"",IF($B283="","Falta Área",IF($C283="","Falta Setor",IF($D283="","Falta Equipamento",IF($E283="","Falta Tipo",IF($F283="","Falta Categoria",IF(COUNTIF($D$4:$D$303,$D283)&gt;1,"Nome repetido: diferencie (01, 02…)",IF(AND(ISNUMBER(SEARCH("Temperatura",$P283)),OR($L283="",$M283="")),"Falta faixa de temperatura",IF(AND(ISNUMBER($L283),ISNUMBER($M283),$L283&gt;$M283),"Temp. mínima maior que a máxima","OK")))))))))</f>
        <v/>
      </c>
      <c r="R283" s="49">
        <f>IF($E283="","",IFERROR(INDEX(Tipos!$B$5:$B$51,MATCH($E283,Tipos!$A$5:$A$51,0)),""))</f>
        <v/>
      </c>
    </row>
    <row r="284" ht="15" customHeight="1" s="33">
      <c r="A284" s="50" t="inlineStr">
        <is>
          <t>RioMar Recife</t>
        </is>
      </c>
      <c r="B284" s="50" t="n"/>
      <c r="C284" s="50" t="n"/>
      <c r="D284" s="50" t="n"/>
      <c r="E284" s="50" t="n"/>
      <c r="F284" s="50" t="n"/>
      <c r="G284" s="50" t="n"/>
      <c r="H284" s="50" t="n"/>
      <c r="I284" s="50" t="n"/>
      <c r="J284" s="50" t="n"/>
      <c r="K284" s="51" t="n"/>
      <c r="L284" s="51" t="n"/>
      <c r="M284" s="51" t="n"/>
      <c r="N284" s="50" t="n"/>
      <c r="O284" s="49">
        <f>IF($E284="","",IFERROR(INDEX(Tipos!$C$5:$C$51,MATCH($E284,Tipos!$A$5:$A$51,0)),"Tipo não encontrado"))</f>
        <v/>
      </c>
      <c r="P284" s="49">
        <f>IF($E284="","",IFERROR(INDEX(Tipos!$D$5:$D$51,MATCH($E284,Tipos!$A$5:$A$51,0)),""))</f>
        <v/>
      </c>
      <c r="Q284" s="49">
        <f>IF(COUNTA($B284:$F284)=0,"",IF($B284="","Falta Área",IF($C284="","Falta Setor",IF($D284="","Falta Equipamento",IF($E284="","Falta Tipo",IF($F284="","Falta Categoria",IF(COUNTIF($D$4:$D$303,$D284)&gt;1,"Nome repetido: diferencie (01, 02…)",IF(AND(ISNUMBER(SEARCH("Temperatura",$P284)),OR($L284="",$M284="")),"Falta faixa de temperatura",IF(AND(ISNUMBER($L284),ISNUMBER($M284),$L284&gt;$M284),"Temp. mínima maior que a máxima","OK")))))))))</f>
        <v/>
      </c>
      <c r="R284" s="49">
        <f>IF($E284="","",IFERROR(INDEX(Tipos!$B$5:$B$51,MATCH($E284,Tipos!$A$5:$A$51,0)),""))</f>
        <v/>
      </c>
    </row>
    <row r="285" ht="15" customHeight="1" s="33">
      <c r="A285" s="50" t="inlineStr">
        <is>
          <t>RioMar Recife</t>
        </is>
      </c>
      <c r="B285" s="50" t="n"/>
      <c r="C285" s="50" t="n"/>
      <c r="D285" s="50" t="n"/>
      <c r="E285" s="50" t="n"/>
      <c r="F285" s="50" t="n"/>
      <c r="G285" s="50" t="n"/>
      <c r="H285" s="50" t="n"/>
      <c r="I285" s="50" t="n"/>
      <c r="J285" s="50" t="n"/>
      <c r="K285" s="51" t="n"/>
      <c r="L285" s="51" t="n"/>
      <c r="M285" s="51" t="n"/>
      <c r="N285" s="50" t="n"/>
      <c r="O285" s="49">
        <f>IF($E285="","",IFERROR(INDEX(Tipos!$C$5:$C$51,MATCH($E285,Tipos!$A$5:$A$51,0)),"Tipo não encontrado"))</f>
        <v/>
      </c>
      <c r="P285" s="49">
        <f>IF($E285="","",IFERROR(INDEX(Tipos!$D$5:$D$51,MATCH($E285,Tipos!$A$5:$A$51,0)),""))</f>
        <v/>
      </c>
      <c r="Q285" s="49">
        <f>IF(COUNTA($B285:$F285)=0,"",IF($B285="","Falta Área",IF($C285="","Falta Setor",IF($D285="","Falta Equipamento",IF($E285="","Falta Tipo",IF($F285="","Falta Categoria",IF(COUNTIF($D$4:$D$303,$D285)&gt;1,"Nome repetido: diferencie (01, 02…)",IF(AND(ISNUMBER(SEARCH("Temperatura",$P285)),OR($L285="",$M285="")),"Falta faixa de temperatura",IF(AND(ISNUMBER($L285),ISNUMBER($M285),$L285&gt;$M285),"Temp. mínima maior que a máxima","OK")))))))))</f>
        <v/>
      </c>
      <c r="R285" s="49">
        <f>IF($E285="","",IFERROR(INDEX(Tipos!$B$5:$B$51,MATCH($E285,Tipos!$A$5:$A$51,0)),""))</f>
        <v/>
      </c>
    </row>
    <row r="286" ht="15" customHeight="1" s="33">
      <c r="A286" s="50" t="inlineStr">
        <is>
          <t>RioMar Recife</t>
        </is>
      </c>
      <c r="B286" s="50" t="n"/>
      <c r="C286" s="50" t="n"/>
      <c r="D286" s="50" t="n"/>
      <c r="E286" s="50" t="n"/>
      <c r="F286" s="50" t="n"/>
      <c r="G286" s="50" t="n"/>
      <c r="H286" s="50" t="n"/>
      <c r="I286" s="50" t="n"/>
      <c r="J286" s="50" t="n"/>
      <c r="K286" s="51" t="n"/>
      <c r="L286" s="51" t="n"/>
      <c r="M286" s="51" t="n"/>
      <c r="N286" s="50" t="n"/>
      <c r="O286" s="49">
        <f>IF($E286="","",IFERROR(INDEX(Tipos!$C$5:$C$51,MATCH($E286,Tipos!$A$5:$A$51,0)),"Tipo não encontrado"))</f>
        <v/>
      </c>
      <c r="P286" s="49">
        <f>IF($E286="","",IFERROR(INDEX(Tipos!$D$5:$D$51,MATCH($E286,Tipos!$A$5:$A$51,0)),""))</f>
        <v/>
      </c>
      <c r="Q286" s="49">
        <f>IF(COUNTA($B286:$F286)=0,"",IF($B286="","Falta Área",IF($C286="","Falta Setor",IF($D286="","Falta Equipamento",IF($E286="","Falta Tipo",IF($F286="","Falta Categoria",IF(COUNTIF($D$4:$D$303,$D286)&gt;1,"Nome repetido: diferencie (01, 02…)",IF(AND(ISNUMBER(SEARCH("Temperatura",$P286)),OR($L286="",$M286="")),"Falta faixa de temperatura",IF(AND(ISNUMBER($L286),ISNUMBER($M286),$L286&gt;$M286),"Temp. mínima maior que a máxima","OK")))))))))</f>
        <v/>
      </c>
      <c r="R286" s="49">
        <f>IF($E286="","",IFERROR(INDEX(Tipos!$B$5:$B$51,MATCH($E286,Tipos!$A$5:$A$51,0)),""))</f>
        <v/>
      </c>
    </row>
    <row r="287" ht="15" customHeight="1" s="33">
      <c r="A287" s="50" t="inlineStr">
        <is>
          <t>RioMar Recife</t>
        </is>
      </c>
      <c r="B287" s="50" t="n"/>
      <c r="C287" s="50" t="n"/>
      <c r="D287" s="50" t="n"/>
      <c r="E287" s="50" t="n"/>
      <c r="F287" s="50" t="n"/>
      <c r="G287" s="50" t="n"/>
      <c r="H287" s="50" t="n"/>
      <c r="I287" s="50" t="n"/>
      <c r="J287" s="50" t="n"/>
      <c r="K287" s="51" t="n"/>
      <c r="L287" s="51" t="n"/>
      <c r="M287" s="51" t="n"/>
      <c r="N287" s="50" t="n"/>
      <c r="O287" s="49">
        <f>IF($E287="","",IFERROR(INDEX(Tipos!$C$5:$C$51,MATCH($E287,Tipos!$A$5:$A$51,0)),"Tipo não encontrado"))</f>
        <v/>
      </c>
      <c r="P287" s="49">
        <f>IF($E287="","",IFERROR(INDEX(Tipos!$D$5:$D$51,MATCH($E287,Tipos!$A$5:$A$51,0)),""))</f>
        <v/>
      </c>
      <c r="Q287" s="49">
        <f>IF(COUNTA($B287:$F287)=0,"",IF($B287="","Falta Área",IF($C287="","Falta Setor",IF($D287="","Falta Equipamento",IF($E287="","Falta Tipo",IF($F287="","Falta Categoria",IF(COUNTIF($D$4:$D$303,$D287)&gt;1,"Nome repetido: diferencie (01, 02…)",IF(AND(ISNUMBER(SEARCH("Temperatura",$P287)),OR($L287="",$M287="")),"Falta faixa de temperatura",IF(AND(ISNUMBER($L287),ISNUMBER($M287),$L287&gt;$M287),"Temp. mínima maior que a máxima","OK")))))))))</f>
        <v/>
      </c>
      <c r="R287" s="49">
        <f>IF($E287="","",IFERROR(INDEX(Tipos!$B$5:$B$51,MATCH($E287,Tipos!$A$5:$A$51,0)),""))</f>
        <v/>
      </c>
    </row>
    <row r="288" ht="15" customHeight="1" s="33">
      <c r="A288" s="50" t="inlineStr">
        <is>
          <t>RioMar Recife</t>
        </is>
      </c>
      <c r="B288" s="50" t="n"/>
      <c r="C288" s="50" t="n"/>
      <c r="D288" s="50" t="n"/>
      <c r="E288" s="50" t="n"/>
      <c r="F288" s="50" t="n"/>
      <c r="G288" s="50" t="n"/>
      <c r="H288" s="50" t="n"/>
      <c r="I288" s="50" t="n"/>
      <c r="J288" s="50" t="n"/>
      <c r="K288" s="51" t="n"/>
      <c r="L288" s="51" t="n"/>
      <c r="M288" s="51" t="n"/>
      <c r="N288" s="50" t="n"/>
      <c r="O288" s="49">
        <f>IF($E288="","",IFERROR(INDEX(Tipos!$C$5:$C$51,MATCH($E288,Tipos!$A$5:$A$51,0)),"Tipo não encontrado"))</f>
        <v/>
      </c>
      <c r="P288" s="49">
        <f>IF($E288="","",IFERROR(INDEX(Tipos!$D$5:$D$51,MATCH($E288,Tipos!$A$5:$A$51,0)),""))</f>
        <v/>
      </c>
      <c r="Q288" s="49">
        <f>IF(COUNTA($B288:$F288)=0,"",IF($B288="","Falta Área",IF($C288="","Falta Setor",IF($D288="","Falta Equipamento",IF($E288="","Falta Tipo",IF($F288="","Falta Categoria",IF(COUNTIF($D$4:$D$303,$D288)&gt;1,"Nome repetido: diferencie (01, 02…)",IF(AND(ISNUMBER(SEARCH("Temperatura",$P288)),OR($L288="",$M288="")),"Falta faixa de temperatura",IF(AND(ISNUMBER($L288),ISNUMBER($M288),$L288&gt;$M288),"Temp. mínima maior que a máxima","OK")))))))))</f>
        <v/>
      </c>
      <c r="R288" s="49">
        <f>IF($E288="","",IFERROR(INDEX(Tipos!$B$5:$B$51,MATCH($E288,Tipos!$A$5:$A$51,0)),""))</f>
        <v/>
      </c>
    </row>
    <row r="289" ht="15" customHeight="1" s="33">
      <c r="A289" s="50" t="inlineStr">
        <is>
          <t>RioMar Recife</t>
        </is>
      </c>
      <c r="B289" s="50" t="n"/>
      <c r="C289" s="50" t="n"/>
      <c r="D289" s="50" t="n"/>
      <c r="E289" s="50" t="n"/>
      <c r="F289" s="50" t="n"/>
      <c r="G289" s="50" t="n"/>
      <c r="H289" s="50" t="n"/>
      <c r="I289" s="50" t="n"/>
      <c r="J289" s="50" t="n"/>
      <c r="K289" s="51" t="n"/>
      <c r="L289" s="51" t="n"/>
      <c r="M289" s="51" t="n"/>
      <c r="N289" s="50" t="n"/>
      <c r="O289" s="49">
        <f>IF($E289="","",IFERROR(INDEX(Tipos!$C$5:$C$51,MATCH($E289,Tipos!$A$5:$A$51,0)),"Tipo não encontrado"))</f>
        <v/>
      </c>
      <c r="P289" s="49">
        <f>IF($E289="","",IFERROR(INDEX(Tipos!$D$5:$D$51,MATCH($E289,Tipos!$A$5:$A$51,0)),""))</f>
        <v/>
      </c>
      <c r="Q289" s="49">
        <f>IF(COUNTA($B289:$F289)=0,"",IF($B289="","Falta Área",IF($C289="","Falta Setor",IF($D289="","Falta Equipamento",IF($E289="","Falta Tipo",IF($F289="","Falta Categoria",IF(COUNTIF($D$4:$D$303,$D289)&gt;1,"Nome repetido: diferencie (01, 02…)",IF(AND(ISNUMBER(SEARCH("Temperatura",$P289)),OR($L289="",$M289="")),"Falta faixa de temperatura",IF(AND(ISNUMBER($L289),ISNUMBER($M289),$L289&gt;$M289),"Temp. mínima maior que a máxima","OK")))))))))</f>
        <v/>
      </c>
      <c r="R289" s="49">
        <f>IF($E289="","",IFERROR(INDEX(Tipos!$B$5:$B$51,MATCH($E289,Tipos!$A$5:$A$51,0)),""))</f>
        <v/>
      </c>
    </row>
    <row r="290" ht="15" customHeight="1" s="33">
      <c r="A290" s="50" t="inlineStr">
        <is>
          <t>RioMar Recife</t>
        </is>
      </c>
      <c r="B290" s="50" t="n"/>
      <c r="C290" s="50" t="n"/>
      <c r="D290" s="50" t="n"/>
      <c r="E290" s="50" t="n"/>
      <c r="F290" s="50" t="n"/>
      <c r="G290" s="50" t="n"/>
      <c r="H290" s="50" t="n"/>
      <c r="I290" s="50" t="n"/>
      <c r="J290" s="50" t="n"/>
      <c r="K290" s="51" t="n"/>
      <c r="L290" s="51" t="n"/>
      <c r="M290" s="51" t="n"/>
      <c r="N290" s="50" t="n"/>
      <c r="O290" s="49">
        <f>IF($E290="","",IFERROR(INDEX(Tipos!$C$5:$C$51,MATCH($E290,Tipos!$A$5:$A$51,0)),"Tipo não encontrado"))</f>
        <v/>
      </c>
      <c r="P290" s="49">
        <f>IF($E290="","",IFERROR(INDEX(Tipos!$D$5:$D$51,MATCH($E290,Tipos!$A$5:$A$51,0)),""))</f>
        <v/>
      </c>
      <c r="Q290" s="49">
        <f>IF(COUNTA($B290:$F290)=0,"",IF($B290="","Falta Área",IF($C290="","Falta Setor",IF($D290="","Falta Equipamento",IF($E290="","Falta Tipo",IF($F290="","Falta Categoria",IF(COUNTIF($D$4:$D$303,$D290)&gt;1,"Nome repetido: diferencie (01, 02…)",IF(AND(ISNUMBER(SEARCH("Temperatura",$P290)),OR($L290="",$M290="")),"Falta faixa de temperatura",IF(AND(ISNUMBER($L290),ISNUMBER($M290),$L290&gt;$M290),"Temp. mínima maior que a máxima","OK")))))))))</f>
        <v/>
      </c>
      <c r="R290" s="49">
        <f>IF($E290="","",IFERROR(INDEX(Tipos!$B$5:$B$51,MATCH($E290,Tipos!$A$5:$A$51,0)),""))</f>
        <v/>
      </c>
    </row>
    <row r="291" ht="15" customHeight="1" s="33">
      <c r="A291" s="50" t="inlineStr">
        <is>
          <t>RioMar Recife</t>
        </is>
      </c>
      <c r="B291" s="50" t="n"/>
      <c r="C291" s="50" t="n"/>
      <c r="D291" s="50" t="n"/>
      <c r="E291" s="50" t="n"/>
      <c r="F291" s="50" t="n"/>
      <c r="G291" s="50" t="n"/>
      <c r="H291" s="50" t="n"/>
      <c r="I291" s="50" t="n"/>
      <c r="J291" s="50" t="n"/>
      <c r="K291" s="51" t="n"/>
      <c r="L291" s="51" t="n"/>
      <c r="M291" s="51" t="n"/>
      <c r="N291" s="50" t="n"/>
      <c r="O291" s="49">
        <f>IF($E291="","",IFERROR(INDEX(Tipos!$C$5:$C$51,MATCH($E291,Tipos!$A$5:$A$51,0)),"Tipo não encontrado"))</f>
        <v/>
      </c>
      <c r="P291" s="49">
        <f>IF($E291="","",IFERROR(INDEX(Tipos!$D$5:$D$51,MATCH($E291,Tipos!$A$5:$A$51,0)),""))</f>
        <v/>
      </c>
      <c r="Q291" s="49">
        <f>IF(COUNTA($B291:$F291)=0,"",IF($B291="","Falta Área",IF($C291="","Falta Setor",IF($D291="","Falta Equipamento",IF($E291="","Falta Tipo",IF($F291="","Falta Categoria",IF(COUNTIF($D$4:$D$303,$D291)&gt;1,"Nome repetido: diferencie (01, 02…)",IF(AND(ISNUMBER(SEARCH("Temperatura",$P291)),OR($L291="",$M291="")),"Falta faixa de temperatura",IF(AND(ISNUMBER($L291),ISNUMBER($M291),$L291&gt;$M291),"Temp. mínima maior que a máxima","OK")))))))))</f>
        <v/>
      </c>
      <c r="R291" s="49">
        <f>IF($E291="","",IFERROR(INDEX(Tipos!$B$5:$B$51,MATCH($E291,Tipos!$A$5:$A$51,0)),""))</f>
        <v/>
      </c>
    </row>
    <row r="292" ht="15" customHeight="1" s="33">
      <c r="A292" s="50" t="inlineStr">
        <is>
          <t>RioMar Recife</t>
        </is>
      </c>
      <c r="B292" s="50" t="n"/>
      <c r="C292" s="50" t="n"/>
      <c r="D292" s="50" t="n"/>
      <c r="E292" s="50" t="n"/>
      <c r="F292" s="50" t="n"/>
      <c r="G292" s="50" t="n"/>
      <c r="H292" s="50" t="n"/>
      <c r="I292" s="50" t="n"/>
      <c r="J292" s="50" t="n"/>
      <c r="K292" s="51" t="n"/>
      <c r="L292" s="51" t="n"/>
      <c r="M292" s="51" t="n"/>
      <c r="N292" s="50" t="n"/>
      <c r="O292" s="49">
        <f>IF($E292="","",IFERROR(INDEX(Tipos!$C$5:$C$51,MATCH($E292,Tipos!$A$5:$A$51,0)),"Tipo não encontrado"))</f>
        <v/>
      </c>
      <c r="P292" s="49">
        <f>IF($E292="","",IFERROR(INDEX(Tipos!$D$5:$D$51,MATCH($E292,Tipos!$A$5:$A$51,0)),""))</f>
        <v/>
      </c>
      <c r="Q292" s="49">
        <f>IF(COUNTA($B292:$F292)=0,"",IF($B292="","Falta Área",IF($C292="","Falta Setor",IF($D292="","Falta Equipamento",IF($E292="","Falta Tipo",IF($F292="","Falta Categoria",IF(COUNTIF($D$4:$D$303,$D292)&gt;1,"Nome repetido: diferencie (01, 02…)",IF(AND(ISNUMBER(SEARCH("Temperatura",$P292)),OR($L292="",$M292="")),"Falta faixa de temperatura",IF(AND(ISNUMBER($L292),ISNUMBER($M292),$L292&gt;$M292),"Temp. mínima maior que a máxima","OK")))))))))</f>
        <v/>
      </c>
      <c r="R292" s="49">
        <f>IF($E292="","",IFERROR(INDEX(Tipos!$B$5:$B$51,MATCH($E292,Tipos!$A$5:$A$51,0)),""))</f>
        <v/>
      </c>
    </row>
    <row r="293" ht="15" customHeight="1" s="33">
      <c r="A293" s="50" t="inlineStr">
        <is>
          <t>RioMar Recife</t>
        </is>
      </c>
      <c r="B293" s="50" t="n"/>
      <c r="C293" s="50" t="n"/>
      <c r="D293" s="50" t="n"/>
      <c r="E293" s="50" t="n"/>
      <c r="F293" s="50" t="n"/>
      <c r="G293" s="50" t="n"/>
      <c r="H293" s="50" t="n"/>
      <c r="I293" s="50" t="n"/>
      <c r="J293" s="50" t="n"/>
      <c r="K293" s="51" t="n"/>
      <c r="L293" s="51" t="n"/>
      <c r="M293" s="51" t="n"/>
      <c r="N293" s="50" t="n"/>
      <c r="O293" s="49">
        <f>IF($E293="","",IFERROR(INDEX(Tipos!$C$5:$C$51,MATCH($E293,Tipos!$A$5:$A$51,0)),"Tipo não encontrado"))</f>
        <v/>
      </c>
      <c r="P293" s="49">
        <f>IF($E293="","",IFERROR(INDEX(Tipos!$D$5:$D$51,MATCH($E293,Tipos!$A$5:$A$51,0)),""))</f>
        <v/>
      </c>
      <c r="Q293" s="49">
        <f>IF(COUNTA($B293:$F293)=0,"",IF($B293="","Falta Área",IF($C293="","Falta Setor",IF($D293="","Falta Equipamento",IF($E293="","Falta Tipo",IF($F293="","Falta Categoria",IF(COUNTIF($D$4:$D$303,$D293)&gt;1,"Nome repetido: diferencie (01, 02…)",IF(AND(ISNUMBER(SEARCH("Temperatura",$P293)),OR($L293="",$M293="")),"Falta faixa de temperatura",IF(AND(ISNUMBER($L293),ISNUMBER($M293),$L293&gt;$M293),"Temp. mínima maior que a máxima","OK")))))))))</f>
        <v/>
      </c>
      <c r="R293" s="49">
        <f>IF($E293="","",IFERROR(INDEX(Tipos!$B$5:$B$51,MATCH($E293,Tipos!$A$5:$A$51,0)),""))</f>
        <v/>
      </c>
    </row>
    <row r="294" ht="15" customHeight="1" s="33">
      <c r="A294" s="50" t="inlineStr">
        <is>
          <t>RioMar Recife</t>
        </is>
      </c>
      <c r="B294" s="50" t="n"/>
      <c r="C294" s="50" t="n"/>
      <c r="D294" s="50" t="n"/>
      <c r="E294" s="50" t="n"/>
      <c r="F294" s="50" t="n"/>
      <c r="G294" s="50" t="n"/>
      <c r="H294" s="50" t="n"/>
      <c r="I294" s="50" t="n"/>
      <c r="J294" s="50" t="n"/>
      <c r="K294" s="51" t="n"/>
      <c r="L294" s="51" t="n"/>
      <c r="M294" s="51" t="n"/>
      <c r="N294" s="50" t="n"/>
      <c r="O294" s="49">
        <f>IF($E294="","",IFERROR(INDEX(Tipos!$C$5:$C$51,MATCH($E294,Tipos!$A$5:$A$51,0)),"Tipo não encontrado"))</f>
        <v/>
      </c>
      <c r="P294" s="49">
        <f>IF($E294="","",IFERROR(INDEX(Tipos!$D$5:$D$51,MATCH($E294,Tipos!$A$5:$A$51,0)),""))</f>
        <v/>
      </c>
      <c r="Q294" s="49">
        <f>IF(COUNTA($B294:$F294)=0,"",IF($B294="","Falta Área",IF($C294="","Falta Setor",IF($D294="","Falta Equipamento",IF($E294="","Falta Tipo",IF($F294="","Falta Categoria",IF(COUNTIF($D$4:$D$303,$D294)&gt;1,"Nome repetido: diferencie (01, 02…)",IF(AND(ISNUMBER(SEARCH("Temperatura",$P294)),OR($L294="",$M294="")),"Falta faixa de temperatura",IF(AND(ISNUMBER($L294),ISNUMBER($M294),$L294&gt;$M294),"Temp. mínima maior que a máxima","OK")))))))))</f>
        <v/>
      </c>
      <c r="R294" s="49">
        <f>IF($E294="","",IFERROR(INDEX(Tipos!$B$5:$B$51,MATCH($E294,Tipos!$A$5:$A$51,0)),""))</f>
        <v/>
      </c>
    </row>
    <row r="295" ht="15" customHeight="1" s="33">
      <c r="A295" s="50" t="inlineStr">
        <is>
          <t>RioMar Recife</t>
        </is>
      </c>
      <c r="B295" s="50" t="n"/>
      <c r="C295" s="50" t="n"/>
      <c r="D295" s="50" t="n"/>
      <c r="E295" s="50" t="n"/>
      <c r="F295" s="50" t="n"/>
      <c r="G295" s="50" t="n"/>
      <c r="H295" s="50" t="n"/>
      <c r="I295" s="50" t="n"/>
      <c r="J295" s="50" t="n"/>
      <c r="K295" s="51" t="n"/>
      <c r="L295" s="51" t="n"/>
      <c r="M295" s="51" t="n"/>
      <c r="N295" s="50" t="n"/>
      <c r="O295" s="49">
        <f>IF($E295="","",IFERROR(INDEX(Tipos!$C$5:$C$51,MATCH($E295,Tipos!$A$5:$A$51,0)),"Tipo não encontrado"))</f>
        <v/>
      </c>
      <c r="P295" s="49">
        <f>IF($E295="","",IFERROR(INDEX(Tipos!$D$5:$D$51,MATCH($E295,Tipos!$A$5:$A$51,0)),""))</f>
        <v/>
      </c>
      <c r="Q295" s="49">
        <f>IF(COUNTA($B295:$F295)=0,"",IF($B295="","Falta Área",IF($C295="","Falta Setor",IF($D295="","Falta Equipamento",IF($E295="","Falta Tipo",IF($F295="","Falta Categoria",IF(COUNTIF($D$4:$D$303,$D295)&gt;1,"Nome repetido: diferencie (01, 02…)",IF(AND(ISNUMBER(SEARCH("Temperatura",$P295)),OR($L295="",$M295="")),"Falta faixa de temperatura",IF(AND(ISNUMBER($L295),ISNUMBER($M295),$L295&gt;$M295),"Temp. mínima maior que a máxima","OK")))))))))</f>
        <v/>
      </c>
      <c r="R295" s="49">
        <f>IF($E295="","",IFERROR(INDEX(Tipos!$B$5:$B$51,MATCH($E295,Tipos!$A$5:$A$51,0)),""))</f>
        <v/>
      </c>
    </row>
    <row r="296" ht="15" customHeight="1" s="33">
      <c r="A296" s="50" t="inlineStr">
        <is>
          <t>RioMar Recife</t>
        </is>
      </c>
      <c r="B296" s="50" t="n"/>
      <c r="C296" s="50" t="n"/>
      <c r="D296" s="50" t="n"/>
      <c r="E296" s="50" t="n"/>
      <c r="F296" s="50" t="n"/>
      <c r="G296" s="50" t="n"/>
      <c r="H296" s="50" t="n"/>
      <c r="I296" s="50" t="n"/>
      <c r="J296" s="50" t="n"/>
      <c r="K296" s="51" t="n"/>
      <c r="L296" s="51" t="n"/>
      <c r="M296" s="51" t="n"/>
      <c r="N296" s="50" t="n"/>
      <c r="O296" s="49">
        <f>IF($E296="","",IFERROR(INDEX(Tipos!$C$5:$C$51,MATCH($E296,Tipos!$A$5:$A$51,0)),"Tipo não encontrado"))</f>
        <v/>
      </c>
      <c r="P296" s="49">
        <f>IF($E296="","",IFERROR(INDEX(Tipos!$D$5:$D$51,MATCH($E296,Tipos!$A$5:$A$51,0)),""))</f>
        <v/>
      </c>
      <c r="Q296" s="49">
        <f>IF(COUNTA($B296:$F296)=0,"",IF($B296="","Falta Área",IF($C296="","Falta Setor",IF($D296="","Falta Equipamento",IF($E296="","Falta Tipo",IF($F296="","Falta Categoria",IF(COUNTIF($D$4:$D$303,$D296)&gt;1,"Nome repetido: diferencie (01, 02…)",IF(AND(ISNUMBER(SEARCH("Temperatura",$P296)),OR($L296="",$M296="")),"Falta faixa de temperatura",IF(AND(ISNUMBER($L296),ISNUMBER($M296),$L296&gt;$M296),"Temp. mínima maior que a máxima","OK")))))))))</f>
        <v/>
      </c>
      <c r="R296" s="49">
        <f>IF($E296="","",IFERROR(INDEX(Tipos!$B$5:$B$51,MATCH($E296,Tipos!$A$5:$A$51,0)),""))</f>
        <v/>
      </c>
    </row>
    <row r="297" ht="15" customHeight="1" s="33">
      <c r="A297" s="50" t="inlineStr">
        <is>
          <t>RioMar Recife</t>
        </is>
      </c>
      <c r="B297" s="50" t="n"/>
      <c r="C297" s="50" t="n"/>
      <c r="D297" s="50" t="n"/>
      <c r="E297" s="50" t="n"/>
      <c r="F297" s="50" t="n"/>
      <c r="G297" s="50" t="n"/>
      <c r="H297" s="50" t="n"/>
      <c r="I297" s="50" t="n"/>
      <c r="J297" s="50" t="n"/>
      <c r="K297" s="51" t="n"/>
      <c r="L297" s="51" t="n"/>
      <c r="M297" s="51" t="n"/>
      <c r="N297" s="50" t="n"/>
      <c r="O297" s="49">
        <f>IF($E297="","",IFERROR(INDEX(Tipos!$C$5:$C$51,MATCH($E297,Tipos!$A$5:$A$51,0)),"Tipo não encontrado"))</f>
        <v/>
      </c>
      <c r="P297" s="49">
        <f>IF($E297="","",IFERROR(INDEX(Tipos!$D$5:$D$51,MATCH($E297,Tipos!$A$5:$A$51,0)),""))</f>
        <v/>
      </c>
      <c r="Q297" s="49">
        <f>IF(COUNTA($B297:$F297)=0,"",IF($B297="","Falta Área",IF($C297="","Falta Setor",IF($D297="","Falta Equipamento",IF($E297="","Falta Tipo",IF($F297="","Falta Categoria",IF(COUNTIF($D$4:$D$303,$D297)&gt;1,"Nome repetido: diferencie (01, 02…)",IF(AND(ISNUMBER(SEARCH("Temperatura",$P297)),OR($L297="",$M297="")),"Falta faixa de temperatura",IF(AND(ISNUMBER($L297),ISNUMBER($M297),$L297&gt;$M297),"Temp. mínima maior que a máxima","OK")))))))))</f>
        <v/>
      </c>
      <c r="R297" s="49">
        <f>IF($E297="","",IFERROR(INDEX(Tipos!$B$5:$B$51,MATCH($E297,Tipos!$A$5:$A$51,0)),""))</f>
        <v/>
      </c>
    </row>
    <row r="298" ht="15" customHeight="1" s="33">
      <c r="A298" s="50" t="inlineStr">
        <is>
          <t>RioMar Recife</t>
        </is>
      </c>
      <c r="B298" s="50" t="n"/>
      <c r="C298" s="50" t="n"/>
      <c r="D298" s="50" t="n"/>
      <c r="E298" s="50" t="n"/>
      <c r="F298" s="50" t="n"/>
      <c r="G298" s="50" t="n"/>
      <c r="H298" s="50" t="n"/>
      <c r="I298" s="50" t="n"/>
      <c r="J298" s="50" t="n"/>
      <c r="K298" s="51" t="n"/>
      <c r="L298" s="51" t="n"/>
      <c r="M298" s="51" t="n"/>
      <c r="N298" s="50" t="n"/>
      <c r="O298" s="49">
        <f>IF($E298="","",IFERROR(INDEX(Tipos!$C$5:$C$51,MATCH($E298,Tipos!$A$5:$A$51,0)),"Tipo não encontrado"))</f>
        <v/>
      </c>
      <c r="P298" s="49">
        <f>IF($E298="","",IFERROR(INDEX(Tipos!$D$5:$D$51,MATCH($E298,Tipos!$A$5:$A$51,0)),""))</f>
        <v/>
      </c>
      <c r="Q298" s="49">
        <f>IF(COUNTA($B298:$F298)=0,"",IF($B298="","Falta Área",IF($C298="","Falta Setor",IF($D298="","Falta Equipamento",IF($E298="","Falta Tipo",IF($F298="","Falta Categoria",IF(COUNTIF($D$4:$D$303,$D298)&gt;1,"Nome repetido: diferencie (01, 02…)",IF(AND(ISNUMBER(SEARCH("Temperatura",$P298)),OR($L298="",$M298="")),"Falta faixa de temperatura",IF(AND(ISNUMBER($L298),ISNUMBER($M298),$L298&gt;$M298),"Temp. mínima maior que a máxima","OK")))))))))</f>
        <v/>
      </c>
      <c r="R298" s="49">
        <f>IF($E298="","",IFERROR(INDEX(Tipos!$B$5:$B$51,MATCH($E298,Tipos!$A$5:$A$51,0)),""))</f>
        <v/>
      </c>
    </row>
    <row r="299" ht="15" customHeight="1" s="33">
      <c r="A299" s="50" t="inlineStr">
        <is>
          <t>RioMar Recife</t>
        </is>
      </c>
      <c r="B299" s="50" t="n"/>
      <c r="C299" s="50" t="n"/>
      <c r="D299" s="50" t="n"/>
      <c r="E299" s="50" t="n"/>
      <c r="F299" s="50" t="n"/>
      <c r="G299" s="50" t="n"/>
      <c r="H299" s="50" t="n"/>
      <c r="I299" s="50" t="n"/>
      <c r="J299" s="50" t="n"/>
      <c r="K299" s="51" t="n"/>
      <c r="L299" s="51" t="n"/>
      <c r="M299" s="51" t="n"/>
      <c r="N299" s="50" t="n"/>
      <c r="O299" s="49">
        <f>IF($E299="","",IFERROR(INDEX(Tipos!$C$5:$C$51,MATCH($E299,Tipos!$A$5:$A$51,0)),"Tipo não encontrado"))</f>
        <v/>
      </c>
      <c r="P299" s="49">
        <f>IF($E299="","",IFERROR(INDEX(Tipos!$D$5:$D$51,MATCH($E299,Tipos!$A$5:$A$51,0)),""))</f>
        <v/>
      </c>
      <c r="Q299" s="49">
        <f>IF(COUNTA($B299:$F299)=0,"",IF($B299="","Falta Área",IF($C299="","Falta Setor",IF($D299="","Falta Equipamento",IF($E299="","Falta Tipo",IF($F299="","Falta Categoria",IF(COUNTIF($D$4:$D$303,$D299)&gt;1,"Nome repetido: diferencie (01, 02…)",IF(AND(ISNUMBER(SEARCH("Temperatura",$P299)),OR($L299="",$M299="")),"Falta faixa de temperatura",IF(AND(ISNUMBER($L299),ISNUMBER($M299),$L299&gt;$M299),"Temp. mínima maior que a máxima","OK")))))))))</f>
        <v/>
      </c>
      <c r="R299" s="49">
        <f>IF($E299="","",IFERROR(INDEX(Tipos!$B$5:$B$51,MATCH($E299,Tipos!$A$5:$A$51,0)),""))</f>
        <v/>
      </c>
    </row>
    <row r="300" ht="15" customHeight="1" s="33">
      <c r="A300" s="50" t="inlineStr">
        <is>
          <t>RioMar Recife</t>
        </is>
      </c>
      <c r="B300" s="50" t="n"/>
      <c r="C300" s="50" t="n"/>
      <c r="D300" s="50" t="n"/>
      <c r="E300" s="50" t="n"/>
      <c r="F300" s="50" t="n"/>
      <c r="G300" s="50" t="n"/>
      <c r="H300" s="50" t="n"/>
      <c r="I300" s="50" t="n"/>
      <c r="J300" s="50" t="n"/>
      <c r="K300" s="51" t="n"/>
      <c r="L300" s="51" t="n"/>
      <c r="M300" s="51" t="n"/>
      <c r="N300" s="50" t="n"/>
      <c r="O300" s="49">
        <f>IF($E300="","",IFERROR(INDEX(Tipos!$C$5:$C$51,MATCH($E300,Tipos!$A$5:$A$51,0)),"Tipo não encontrado"))</f>
        <v/>
      </c>
      <c r="P300" s="49">
        <f>IF($E300="","",IFERROR(INDEX(Tipos!$D$5:$D$51,MATCH($E300,Tipos!$A$5:$A$51,0)),""))</f>
        <v/>
      </c>
      <c r="Q300" s="49">
        <f>IF(COUNTA($B300:$F300)=0,"",IF($B300="","Falta Área",IF($C300="","Falta Setor",IF($D300="","Falta Equipamento",IF($E300="","Falta Tipo",IF($F300="","Falta Categoria",IF(COUNTIF($D$4:$D$303,$D300)&gt;1,"Nome repetido: diferencie (01, 02…)",IF(AND(ISNUMBER(SEARCH("Temperatura",$P300)),OR($L300="",$M300="")),"Falta faixa de temperatura",IF(AND(ISNUMBER($L300),ISNUMBER($M300),$L300&gt;$M300),"Temp. mínima maior que a máxima","OK")))))))))</f>
        <v/>
      </c>
      <c r="R300" s="49">
        <f>IF($E300="","",IFERROR(INDEX(Tipos!$B$5:$B$51,MATCH($E300,Tipos!$A$5:$A$51,0)),""))</f>
        <v/>
      </c>
    </row>
    <row r="301" ht="15" customHeight="1" s="33">
      <c r="A301" s="50" t="inlineStr">
        <is>
          <t>RioMar Recife</t>
        </is>
      </c>
      <c r="B301" s="50" t="n"/>
      <c r="C301" s="50" t="n"/>
      <c r="D301" s="50" t="n"/>
      <c r="E301" s="50" t="n"/>
      <c r="F301" s="50" t="n"/>
      <c r="G301" s="50" t="n"/>
      <c r="H301" s="50" t="n"/>
      <c r="I301" s="50" t="n"/>
      <c r="J301" s="50" t="n"/>
      <c r="K301" s="51" t="n"/>
      <c r="L301" s="51" t="n"/>
      <c r="M301" s="51" t="n"/>
      <c r="N301" s="50" t="n"/>
      <c r="O301" s="49">
        <f>IF($E301="","",IFERROR(INDEX(Tipos!$C$5:$C$51,MATCH($E301,Tipos!$A$5:$A$51,0)),"Tipo não encontrado"))</f>
        <v/>
      </c>
      <c r="P301" s="49">
        <f>IF($E301="","",IFERROR(INDEX(Tipos!$D$5:$D$51,MATCH($E301,Tipos!$A$5:$A$51,0)),""))</f>
        <v/>
      </c>
      <c r="Q301" s="49">
        <f>IF(COUNTA($B301:$F301)=0,"",IF($B301="","Falta Área",IF($C301="","Falta Setor",IF($D301="","Falta Equipamento",IF($E301="","Falta Tipo",IF($F301="","Falta Categoria",IF(COUNTIF($D$4:$D$303,$D301)&gt;1,"Nome repetido: diferencie (01, 02…)",IF(AND(ISNUMBER(SEARCH("Temperatura",$P301)),OR($L301="",$M301="")),"Falta faixa de temperatura",IF(AND(ISNUMBER($L301),ISNUMBER($M301),$L301&gt;$M301),"Temp. mínima maior que a máxima","OK")))))))))</f>
        <v/>
      </c>
      <c r="R301" s="49">
        <f>IF($E301="","",IFERROR(INDEX(Tipos!$B$5:$B$51,MATCH($E301,Tipos!$A$5:$A$51,0)),""))</f>
        <v/>
      </c>
    </row>
    <row r="302" ht="15" customHeight="1" s="33">
      <c r="A302" s="50" t="inlineStr">
        <is>
          <t>RioMar Recife</t>
        </is>
      </c>
      <c r="B302" s="50" t="n"/>
      <c r="C302" s="50" t="n"/>
      <c r="D302" s="50" t="n"/>
      <c r="E302" s="50" t="n"/>
      <c r="F302" s="50" t="n"/>
      <c r="G302" s="50" t="n"/>
      <c r="H302" s="50" t="n"/>
      <c r="I302" s="50" t="n"/>
      <c r="J302" s="50" t="n"/>
      <c r="K302" s="51" t="n"/>
      <c r="L302" s="51" t="n"/>
      <c r="M302" s="51" t="n"/>
      <c r="N302" s="50" t="n"/>
      <c r="O302" s="49">
        <f>IF($E302="","",IFERROR(INDEX(Tipos!$C$5:$C$51,MATCH($E302,Tipos!$A$5:$A$51,0)),"Tipo não encontrado"))</f>
        <v/>
      </c>
      <c r="P302" s="49">
        <f>IF($E302="","",IFERROR(INDEX(Tipos!$D$5:$D$51,MATCH($E302,Tipos!$A$5:$A$51,0)),""))</f>
        <v/>
      </c>
      <c r="Q302" s="49">
        <f>IF(COUNTA($B302:$F302)=0,"",IF($B302="","Falta Área",IF($C302="","Falta Setor",IF($D302="","Falta Equipamento",IF($E302="","Falta Tipo",IF($F302="","Falta Categoria",IF(COUNTIF($D$4:$D$303,$D302)&gt;1,"Nome repetido: diferencie (01, 02…)",IF(AND(ISNUMBER(SEARCH("Temperatura",$P302)),OR($L302="",$M302="")),"Falta faixa de temperatura",IF(AND(ISNUMBER($L302),ISNUMBER($M302),$L302&gt;$M302),"Temp. mínima maior que a máxima","OK")))))))))</f>
        <v/>
      </c>
      <c r="R302" s="49">
        <f>IF($E302="","",IFERROR(INDEX(Tipos!$B$5:$B$51,MATCH($E302,Tipos!$A$5:$A$51,0)),""))</f>
        <v/>
      </c>
    </row>
    <row r="303" ht="15" customHeight="1" s="33">
      <c r="A303" s="50" t="inlineStr">
        <is>
          <t>RioMar Recife</t>
        </is>
      </c>
      <c r="B303" s="50" t="n"/>
      <c r="C303" s="50" t="n"/>
      <c r="D303" s="50" t="n"/>
      <c r="E303" s="50" t="n"/>
      <c r="F303" s="50" t="n"/>
      <c r="G303" s="50" t="n"/>
      <c r="H303" s="50" t="n"/>
      <c r="I303" s="50" t="n"/>
      <c r="J303" s="50" t="n"/>
      <c r="K303" s="51" t="n"/>
      <c r="L303" s="51" t="n"/>
      <c r="M303" s="51" t="n"/>
      <c r="N303" s="50" t="n"/>
      <c r="O303" s="49">
        <f>IF($E303="","",IFERROR(INDEX(Tipos!$C$5:$C$51,MATCH($E303,Tipos!$A$5:$A$51,0)),"Tipo não encontrado"))</f>
        <v/>
      </c>
      <c r="P303" s="49">
        <f>IF($E303="","",IFERROR(INDEX(Tipos!$D$5:$D$51,MATCH($E303,Tipos!$A$5:$A$51,0)),""))</f>
        <v/>
      </c>
      <c r="Q303" s="49">
        <f>IF(COUNTA($B303:$F303)=0,"",IF($B303="","Falta Área",IF($C303="","Falta Setor",IF($D303="","Falta Equipamento",IF($E303="","Falta Tipo",IF($F303="","Falta Categoria",IF(COUNTIF($D$4:$D$303,$D303)&gt;1,"Nome repetido: diferencie (01, 02…)",IF(AND(ISNUMBER(SEARCH("Temperatura",$P303)),OR($L303="",$M303="")),"Falta faixa de temperatura",IF(AND(ISNUMBER($L303),ISNUMBER($M303),$L303&gt;$M303),"Temp. mínima maior que a máxima","OK")))))))))</f>
        <v/>
      </c>
      <c r="R303" s="49">
        <f>IF($E303="","",IFERROR(INDEX(Tipos!$B$5:$B$51,MATCH($E303,Tipos!$A$5:$A$51,0)),""))</f>
        <v/>
      </c>
    </row>
  </sheetData>
  <autoFilter ref="A3:R303"/>
  <conditionalFormatting sqref="Q4:Q303">
    <cfRule type="expression" rank="0" priority="2" equalAverage="0" aboveAverage="0" dxfId="9" text="" percent="0" bottom="0">
      <formula>$Q4="OK"</formula>
    </cfRule>
    <cfRule type="expression" rank="0" priority="3" equalAverage="0" aboveAverage="0" dxfId="10" text="" percent="0" bottom="0">
      <formula>AND($Q4&lt;&gt;"",$Q4&lt;&gt;"OK")</formula>
    </cfRule>
  </conditionalFormatting>
  <dataValidations count="6">
    <dataValidation sqref="B4:B303" showDropDown="0" showInputMessage="0" showErrorMessage="1" allowBlank="1" errorTitle="Área" error="Escolha uma área da lista (aba Áreas e setores)." type="list" errorStyle="stop" operator="between">
      <formula1>'Áreas e setores'!$D$5:$D$34</formula1>
      <formula2>0</formula2>
    </dataValidation>
    <dataValidation sqref="C4:C303" showDropDown="0" showInputMessage="0" showErrorMessage="1" allowBlank="1" errorTitle="Setor" error="Escolha um setor da lista (aba Áreas e setores)." type="list" errorStyle="stop" operator="between">
      <formula1>'Áreas e setores'!$B$5:$B$84</formula1>
      <formula2>0</formula2>
    </dataValidation>
    <dataValidation sqref="E4:E303" showDropDown="0" showInputMessage="0" showErrorMessage="1" allowBlank="1" errorTitle="Tipo" error="Escolha um tipo da lista (aba Tipos)." type="list" errorStyle="stop" operator="between">
      <formula1>Tipos!$A$5:$A$51</formula1>
      <formula2>0</formula2>
    </dataValidation>
    <dataValidation sqref="J4:J303" showDropDown="0" showInputMessage="0" showErrorMessage="0" allowBlank="1" type="list" errorStyle="stop" operator="between">
      <formula1>"127,220,380"</formula1>
      <formula2>0</formula2>
    </dataValidation>
    <dataValidation sqref="K4:M303" showDropDown="0" showInputMessage="0" showErrorMessage="1" allowBlank="1" error="Digite só o número." type="decimal" errorStyle="stop" operator="between">
      <formula1>-60</formula1>
      <formula2>400</formula2>
    </dataValidation>
    <dataValidation sqref="F4:F303" showDropDown="0" showInputMessage="0" showErrorMessage="1" allowBlank="1" errorTitle="Categoria" error="Escolha uma categoria da lista (aba Categorias)." type="list" errorStyle="stop" operator="between">
      <formula1>Categorias!$A$5:$A$40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32" min="1" max="1"/>
    <col width="12" customWidth="1" style="32" min="2" max="2"/>
  </cols>
  <sheetData>
    <row r="1" ht="17.35" customHeight="1" s="33">
      <c r="A1" s="52" t="inlineStr">
        <is>
          <t>Resumo do cadastro</t>
        </is>
      </c>
    </row>
    <row r="4" ht="15" customHeight="1" s="33">
      <c r="A4" s="53" t="inlineStr">
        <is>
          <t>Linhas preenchidas (sem exemplos)</t>
        </is>
      </c>
      <c r="B4" s="54">
        <f>COUNTA(Equipamentos!D6:D303)</f>
        <v/>
      </c>
    </row>
    <row r="5" ht="15" customHeight="1" s="33">
      <c r="A5" s="53" t="inlineStr">
        <is>
          <t>Linhas OK</t>
        </is>
      </c>
      <c r="B5" s="54">
        <f>COUNTIF(Equipamentos!Q6:Q303,"OK")</f>
        <v/>
      </c>
    </row>
    <row r="6" ht="15" customHeight="1" s="33">
      <c r="A6" s="53" t="inlineStr">
        <is>
          <t>Linhas com pendência</t>
        </is>
      </c>
      <c r="B6" s="54">
        <f>B4-B5</f>
        <v/>
      </c>
    </row>
    <row r="7" ht="15" customHeight="1" s="33">
      <c r="A7" s="53" t="inlineStr">
        <is>
          <t>Itens só para chamados</t>
        </is>
      </c>
      <c r="B7" s="54">
        <f>COUNTIF(Equipamentos!O6:O303,"Só chamados")</f>
        <v/>
      </c>
    </row>
    <row r="8" ht="15" customHeight="1" s="33">
      <c r="A8" s="53" t="inlineStr">
        <is>
          <t>Equipamentos com preventiva</t>
        </is>
      </c>
      <c r="B8" s="54">
        <f>B5-COUNTIFS(Equipamentos!O6:O303,"Só chamados",Equipamentos!Q6:Q303,"OK")</f>
        <v/>
      </c>
    </row>
    <row r="10" ht="15" customHeight="1" s="33">
      <c r="A10" s="38" t="inlineStr">
        <is>
          <t>Por família</t>
        </is>
      </c>
    </row>
    <row r="11" ht="15" customHeight="1" s="33">
      <c r="A11" s="53" t="inlineStr">
        <is>
          <t>Climatização</t>
        </is>
      </c>
      <c r="B11" s="55">
        <f>COUNTIF(Equipamentos!$R$6:$R$303,"Climatização")</f>
        <v/>
      </c>
    </row>
    <row r="12" ht="15" customHeight="1" s="33">
      <c r="A12" s="53" t="inlineStr">
        <is>
          <t>Refrigeração</t>
        </is>
      </c>
      <c r="B12" s="55">
        <f>COUNTIF(Equipamentos!$R$6:$R$303,"Refrigeração")</f>
        <v/>
      </c>
    </row>
    <row r="13" ht="15" customHeight="1" s="33">
      <c r="A13" s="53" t="inlineStr">
        <is>
          <t>Cocção a gás</t>
        </is>
      </c>
      <c r="B13" s="55">
        <f>COUNTIF(Equipamentos!$R$6:$R$303,"Cocção a gás")</f>
        <v/>
      </c>
    </row>
    <row r="14" ht="15" customHeight="1" s="33">
      <c r="A14" s="53" t="inlineStr">
        <is>
          <t>Cocção elétrica e fornos</t>
        </is>
      </c>
      <c r="B14" s="55">
        <f>COUNTIF(Equipamentos!$R$6:$R$303,"Cocção elétrica e fornos")</f>
        <v/>
      </c>
    </row>
    <row r="15" ht="15" customHeight="1" s="33">
      <c r="A15" s="53" t="inlineStr">
        <is>
          <t>Exaustão</t>
        </is>
      </c>
      <c r="B15" s="55">
        <f>COUNTIF(Equipamentos!$R$6:$R$303,"Exaustão")</f>
        <v/>
      </c>
    </row>
    <row r="16" ht="15" customHeight="1" s="33">
      <c r="A16" s="53" t="inlineStr">
        <is>
          <t>Lavagem e gelo</t>
        </is>
      </c>
      <c r="B16" s="55">
        <f>COUNTIF(Equipamentos!$R$6:$R$303,"Lavagem e gelo")</f>
        <v/>
      </c>
    </row>
    <row r="17" ht="15" customHeight="1" s="33">
      <c r="A17" s="53" t="inlineStr">
        <is>
          <t>Incêndio e gás</t>
        </is>
      </c>
      <c r="B17" s="55">
        <f>COUNTIF(Equipamentos!$R$6:$R$303,"Incêndio e gás")</f>
        <v/>
      </c>
    </row>
    <row r="18" ht="15" customHeight="1" s="33">
      <c r="A18" s="53" t="inlineStr">
        <is>
          <t>Elétrica e energia</t>
        </is>
      </c>
      <c r="B18" s="55">
        <f>COUNTIF(Equipamentos!$R$6:$R$303,"Elétrica e energia")</f>
        <v/>
      </c>
    </row>
    <row r="19" ht="15" customHeight="1" s="33">
      <c r="A19" s="53" t="inlineStr">
        <is>
          <t>Tecnologia</t>
        </is>
      </c>
      <c r="B19" s="55">
        <f>COUNTIF(Equipamentos!$R$6:$R$303,"Tecnologia")</f>
        <v/>
      </c>
    </row>
    <row r="20" ht="15" customHeight="1" s="33">
      <c r="A20" s="53" t="inlineStr">
        <is>
          <t>Predial</t>
        </is>
      </c>
      <c r="B20" s="55">
        <f>COUNTIF(Equipamentos!$R$6:$R$303,"Predial")</f>
        <v/>
      </c>
    </row>
    <row r="21" ht="15" customHeight="1" s="33">
      <c r="A21" s="53" t="inlineStr">
        <is>
          <t>Sem preventiva</t>
        </is>
      </c>
      <c r="B21" s="55">
        <f>COUNTIF(Equipamentos!$R$6:$R$303,"Sem preventiva")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32" min="1" max="1"/>
    <col width="46" customWidth="1" style="32" min="2" max="2"/>
  </cols>
  <sheetData>
    <row r="1" ht="17.35" customHeight="1" s="33">
      <c r="A1" s="52" t="inlineStr">
        <is>
          <t>Categorias dos chamados</t>
        </is>
      </c>
    </row>
    <row r="2" ht="15" customHeight="1" s="33">
      <c r="A2" s="35" t="inlineStr">
        <is>
          <t>No chamado, o líder escolhe a categoria e só vê os itens dela. Inclua ou renomeie à vontade (até a linha 40).</t>
        </is>
      </c>
    </row>
    <row r="4" ht="15" customHeight="1" s="33">
      <c r="A4" s="56" t="inlineStr">
        <is>
          <t>Categoria</t>
        </is>
      </c>
      <c r="B4" s="56" t="inlineStr">
        <is>
          <t>Exemplos de itens</t>
        </is>
      </c>
    </row>
    <row r="5" ht="15" customHeight="1" s="33">
      <c r="A5" s="57" t="inlineStr">
        <is>
          <t>Móveis</t>
        </is>
      </c>
      <c r="B5" s="58" t="inlineStr">
        <is>
          <t>Cadeiras, mesas, aparador, sofás</t>
        </is>
      </c>
    </row>
    <row r="6" ht="15" customHeight="1" s="33">
      <c r="A6" s="57" t="inlineStr">
        <is>
          <t>Elétrica</t>
        </is>
      </c>
      <c r="B6" s="58" t="inlineStr">
        <is>
          <t>Tomadas, iluminação, quadros</t>
        </is>
      </c>
    </row>
    <row r="7" ht="15" customHeight="1" s="33">
      <c r="A7" s="57" t="inlineStr">
        <is>
          <t>Hidráulica</t>
        </is>
      </c>
      <c r="B7" s="58" t="inlineStr">
        <is>
          <t>Torneiras, pias, descargas, ralos</t>
        </is>
      </c>
    </row>
    <row r="8" ht="15" customHeight="1" s="33">
      <c r="A8" s="57" t="inlineStr">
        <is>
          <t>Segurança</t>
        </is>
      </c>
      <c r="B8" s="58" t="inlineStr">
        <is>
          <t>Extintores, alarme, detecção de gás</t>
        </is>
      </c>
    </row>
    <row r="9" ht="15" customHeight="1" s="33">
      <c r="A9" s="57" t="inlineStr">
        <is>
          <t>Limpeza</t>
        </is>
      </c>
      <c r="B9" s="58" t="inlineStr">
        <is>
          <t>Problemas que pedem limpeza técnica</t>
        </is>
      </c>
    </row>
    <row r="10" ht="15" customHeight="1" s="33">
      <c r="A10" s="57" t="inlineStr">
        <is>
          <t>Pintura</t>
        </is>
      </c>
      <c r="B10" s="58" t="inlineStr">
        <is>
          <t>Paredes, portas, fachada</t>
        </is>
      </c>
    </row>
    <row r="11" ht="15" customHeight="1" s="33">
      <c r="A11" s="57" t="inlineStr">
        <is>
          <t>Equipamentos de cozinha</t>
        </is>
      </c>
      <c r="B11" s="58" t="inlineStr">
        <is>
          <t>Fogão, fritadeira, micro-ondas, fornos</t>
        </is>
      </c>
    </row>
    <row r="12" ht="15" customHeight="1" s="33">
      <c r="A12" s="57" t="inlineStr">
        <is>
          <t>Refrigeração</t>
        </is>
      </c>
      <c r="B12" s="58" t="inlineStr">
        <is>
          <t>Câmaras, balcões, freezers</t>
        </is>
      </c>
    </row>
    <row r="13" ht="15" customHeight="1" s="33">
      <c r="A13" s="57" t="inlineStr">
        <is>
          <t>Climatização</t>
        </is>
      </c>
      <c r="B13" s="58" t="inlineStr">
        <is>
          <t>Ar-condicionado, ventiladores</t>
        </is>
      </c>
    </row>
    <row r="14" ht="15" customHeight="1" s="33">
      <c r="A14" s="57" t="inlineStr">
        <is>
          <t>Exaustão</t>
        </is>
      </c>
      <c r="B14" s="58" t="inlineStr">
        <is>
          <t>Coifas, dutos, exaustores</t>
        </is>
      </c>
    </row>
    <row r="15" ht="15" customHeight="1" s="33">
      <c r="A15" s="57" t="inlineStr">
        <is>
          <t>TI e KDS</t>
        </is>
      </c>
      <c r="B15" s="58" t="inlineStr">
        <is>
          <t>Telas KDS, impressoras, rede</t>
        </is>
      </c>
    </row>
    <row r="16" ht="15" customHeight="1" s="33">
      <c r="A16" s="57" t="inlineStr">
        <is>
          <t>Predial</t>
        </is>
      </c>
      <c r="B16" s="58" t="inlineStr">
        <is>
          <t>Portas, pisos, forro, divisórias</t>
        </is>
      </c>
    </row>
    <row r="17" ht="15" customHeight="1" s="33">
      <c r="A17" s="57" t="n"/>
      <c r="B17" s="58" t="n"/>
    </row>
    <row r="18" ht="15" customHeight="1" s="33">
      <c r="A18" s="57" t="n"/>
      <c r="B18" s="58" t="n"/>
    </row>
    <row r="19" ht="15" customHeight="1" s="33">
      <c r="A19" s="57" t="n"/>
      <c r="B19" s="58" t="n"/>
    </row>
    <row r="20" ht="15" customHeight="1" s="33">
      <c r="A20" s="57" t="n"/>
      <c r="B20" s="58" t="n"/>
    </row>
    <row r="21" ht="15" customHeight="1" s="33">
      <c r="A21" s="57" t="n"/>
      <c r="B21" s="58" t="n"/>
    </row>
    <row r="22" ht="15" customHeight="1" s="33">
      <c r="A22" s="57" t="n"/>
      <c r="B22" s="58" t="n"/>
    </row>
    <row r="23" ht="15" customHeight="1" s="33">
      <c r="A23" s="57" t="n"/>
      <c r="B23" s="58" t="n"/>
    </row>
    <row r="24" ht="15" customHeight="1" s="33">
      <c r="A24" s="57" t="n"/>
      <c r="B24" s="58" t="n"/>
    </row>
    <row r="25" ht="15" customHeight="1" s="33">
      <c r="A25" s="57" t="n"/>
      <c r="B25" s="58" t="n"/>
    </row>
    <row r="26" ht="15" customHeight="1" s="33">
      <c r="A26" s="57" t="n"/>
      <c r="B26" s="58" t="n"/>
    </row>
    <row r="27" ht="15" customHeight="1" s="33">
      <c r="A27" s="57" t="n"/>
      <c r="B27" s="58" t="n"/>
    </row>
    <row r="28" ht="15" customHeight="1" s="33">
      <c r="A28" s="57" t="n"/>
      <c r="B28" s="58" t="n"/>
    </row>
    <row r="29" ht="15" customHeight="1" s="33">
      <c r="A29" s="57" t="n"/>
      <c r="B29" s="58" t="n"/>
    </row>
    <row r="30" ht="15" customHeight="1" s="33">
      <c r="A30" s="57" t="n"/>
      <c r="B30" s="58" t="n"/>
    </row>
    <row r="31" ht="15" customHeight="1" s="33">
      <c r="A31" s="57" t="n"/>
      <c r="B31" s="58" t="n"/>
    </row>
    <row r="32" ht="15" customHeight="1" s="33">
      <c r="A32" s="57" t="n"/>
      <c r="B32" s="58" t="n"/>
    </row>
    <row r="33" ht="15" customHeight="1" s="33">
      <c r="A33" s="57" t="n"/>
      <c r="B33" s="58" t="n"/>
    </row>
    <row r="34" ht="15" customHeight="1" s="33">
      <c r="A34" s="57" t="n"/>
      <c r="B34" s="58" t="n"/>
    </row>
    <row r="35" ht="15" customHeight="1" s="33">
      <c r="A35" s="57" t="n"/>
      <c r="B35" s="58" t="n"/>
    </row>
    <row r="36" ht="15" customHeight="1" s="33">
      <c r="A36" s="57" t="n"/>
      <c r="B36" s="58" t="n"/>
    </row>
    <row r="37" ht="15" customHeight="1" s="33">
      <c r="A37" s="57" t="n"/>
      <c r="B37" s="58" t="n"/>
    </row>
    <row r="38" ht="15" customHeight="1" s="33">
      <c r="A38" s="57" t="n"/>
      <c r="B38" s="58" t="n"/>
    </row>
    <row r="39" ht="15" customHeight="1" s="33">
      <c r="A39" s="57" t="n"/>
      <c r="B39" s="58" t="n"/>
    </row>
    <row r="40" ht="15" customHeight="1" s="33">
      <c r="A40" s="57" t="n"/>
      <c r="B40" s="5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8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32" min="1" max="1"/>
    <col width="30" customWidth="1" style="32" min="2" max="2"/>
    <col width="24" customWidth="1" style="32" min="4" max="4"/>
  </cols>
  <sheetData>
    <row r="1" ht="17.35" customHeight="1" s="33">
      <c r="A1" s="52" t="inlineStr">
        <is>
          <t>Áreas e setores da loja (ajuste à vontade)</t>
        </is>
      </c>
    </row>
    <row r="2" ht="15" customHeight="1" s="33">
      <c r="A2" s="35" t="inlineStr">
        <is>
          <t>Sugestão inicial. Inclua, renomeie ou apague linhas; as listas da aba Equipamentos usam as colunas A e B.</t>
        </is>
      </c>
    </row>
    <row r="4" ht="15" customHeight="1" s="33">
      <c r="A4" s="59" t="inlineStr">
        <is>
          <t>Área</t>
        </is>
      </c>
      <c r="B4" s="59" t="inlineStr">
        <is>
          <t>Setor</t>
        </is>
      </c>
      <c r="D4" s="56" t="inlineStr">
        <is>
          <t>Áreas (lista)</t>
        </is>
      </c>
      <c r="F4" s="60" t="inlineStr">
        <is>
          <t>Escreva cada área uma única vez na coluna D.</t>
        </is>
      </c>
    </row>
    <row r="5" ht="15" customHeight="1" s="33">
      <c r="A5" s="57" t="inlineStr">
        <is>
          <t>Cozinha</t>
        </is>
      </c>
      <c r="B5" s="57" t="inlineStr">
        <is>
          <t>Cozinha quente</t>
        </is>
      </c>
      <c r="D5" s="61" t="inlineStr">
        <is>
          <t>Cozinha</t>
        </is>
      </c>
    </row>
    <row r="6" ht="15" customHeight="1" s="33">
      <c r="A6" s="57" t="inlineStr">
        <is>
          <t>Cozinha</t>
        </is>
      </c>
      <c r="B6" s="57" t="inlineStr">
        <is>
          <t>Cozinha fria</t>
        </is>
      </c>
      <c r="D6" s="61" t="inlineStr">
        <is>
          <t>Estoque</t>
        </is>
      </c>
    </row>
    <row r="7" ht="15" customHeight="1" s="33">
      <c r="A7" s="57" t="inlineStr">
        <is>
          <t>Cozinha</t>
        </is>
      </c>
      <c r="B7" s="57" t="inlineStr">
        <is>
          <t>Sobremesa</t>
        </is>
      </c>
      <c r="D7" s="61" t="inlineStr">
        <is>
          <t>Salão</t>
        </is>
      </c>
    </row>
    <row r="8" ht="15" customHeight="1" s="33">
      <c r="A8" s="57" t="inlineStr">
        <is>
          <t>Cozinha</t>
        </is>
      </c>
      <c r="B8" s="57" t="inlineStr">
        <is>
          <t>Copa</t>
        </is>
      </c>
      <c r="D8" s="61" t="inlineStr">
        <is>
          <t>Bar</t>
        </is>
      </c>
    </row>
    <row r="9" ht="15" customHeight="1" s="33">
      <c r="A9" s="57" t="inlineStr">
        <is>
          <t>Cozinha</t>
        </is>
      </c>
      <c r="B9" s="57" t="inlineStr">
        <is>
          <t>Lavagem</t>
        </is>
      </c>
      <c r="D9" s="61" t="inlineStr">
        <is>
          <t>Banheiros</t>
        </is>
      </c>
    </row>
    <row r="10" ht="15" customHeight="1" s="33">
      <c r="A10" s="57" t="inlineStr">
        <is>
          <t>Estoque</t>
        </is>
      </c>
      <c r="B10" s="57" t="inlineStr">
        <is>
          <t>Câmaras frias</t>
        </is>
      </c>
      <c r="D10" s="61" t="inlineStr">
        <is>
          <t>Área técnica</t>
        </is>
      </c>
    </row>
    <row r="11" ht="15" customHeight="1" s="33">
      <c r="A11" s="57" t="inlineStr">
        <is>
          <t>Estoque</t>
        </is>
      </c>
      <c r="B11" s="57" t="inlineStr">
        <is>
          <t>Estoque seco</t>
        </is>
      </c>
      <c r="D11" s="61" t="inlineStr">
        <is>
          <t>Administrativo</t>
        </is>
      </c>
    </row>
    <row r="12" ht="15" customHeight="1" s="33">
      <c r="A12" s="57" t="inlineStr">
        <is>
          <t>Salão</t>
        </is>
      </c>
      <c r="B12" s="57" t="inlineStr">
        <is>
          <t>Salão principal</t>
        </is>
      </c>
      <c r="D12" s="61" t="inlineStr">
        <is>
          <t>Área externa</t>
        </is>
      </c>
    </row>
    <row r="13" ht="15" customHeight="1" s="33">
      <c r="A13" s="57" t="inlineStr">
        <is>
          <t>Salão</t>
        </is>
      </c>
      <c r="B13" s="57" t="inlineStr">
        <is>
          <t>Salão frente do bar</t>
        </is>
      </c>
      <c r="D13" s="62" t="n"/>
    </row>
    <row r="14" ht="15" customHeight="1" s="33">
      <c r="A14" s="57" t="inlineStr">
        <is>
          <t>Salão</t>
        </is>
      </c>
      <c r="B14" s="57" t="inlineStr">
        <is>
          <t>Varanda</t>
        </is>
      </c>
      <c r="D14" s="62" t="n"/>
    </row>
    <row r="15" ht="15" customHeight="1" s="33">
      <c r="A15" s="57" t="inlineStr">
        <is>
          <t>Bar</t>
        </is>
      </c>
      <c r="B15" s="57" t="inlineStr">
        <is>
          <t>Balcão do bar</t>
        </is>
      </c>
      <c r="D15" s="62" t="n"/>
    </row>
    <row r="16" ht="15" customHeight="1" s="33">
      <c r="A16" s="57" t="inlineStr">
        <is>
          <t>Banheiros</t>
        </is>
      </c>
      <c r="B16" s="57" t="inlineStr">
        <is>
          <t>Banheiro clientes</t>
        </is>
      </c>
      <c r="D16" s="62" t="n"/>
    </row>
    <row r="17" ht="15" customHeight="1" s="33">
      <c r="A17" s="57" t="inlineStr">
        <is>
          <t>Banheiros</t>
        </is>
      </c>
      <c r="B17" s="57" t="inlineStr">
        <is>
          <t>Banheiro funcionários</t>
        </is>
      </c>
      <c r="D17" s="62" t="n"/>
    </row>
    <row r="18" ht="15" customHeight="1" s="33">
      <c r="A18" s="57" t="inlineStr">
        <is>
          <t>Área técnica</t>
        </is>
      </c>
      <c r="B18" s="57" t="inlineStr">
        <is>
          <t>Casa de máquinas</t>
        </is>
      </c>
      <c r="D18" s="62" t="n"/>
    </row>
    <row r="19" ht="15" customHeight="1" s="33">
      <c r="A19" s="57" t="inlineStr">
        <is>
          <t>Área técnica</t>
        </is>
      </c>
      <c r="B19" s="57" t="inlineStr">
        <is>
          <t>Quadros elétricos</t>
        </is>
      </c>
      <c r="D19" s="62" t="n"/>
    </row>
    <row r="20" ht="15" customHeight="1" s="33">
      <c r="A20" s="57" t="inlineStr">
        <is>
          <t>Administrativo</t>
        </is>
      </c>
      <c r="B20" s="57" t="inlineStr">
        <is>
          <t>Escritório</t>
        </is>
      </c>
      <c r="D20" s="62" t="n"/>
    </row>
    <row r="21" ht="15" customHeight="1" s="33">
      <c r="A21" s="57" t="inlineStr">
        <is>
          <t>Área externa</t>
        </is>
      </c>
      <c r="B21" s="57" t="inlineStr">
        <is>
          <t>Fachada</t>
        </is>
      </c>
      <c r="D21" s="62" t="n"/>
    </row>
    <row r="22" ht="15" customHeight="1" s="33">
      <c r="A22" s="57" t="n"/>
      <c r="B22" s="57" t="n"/>
      <c r="D22" s="62" t="n"/>
    </row>
    <row r="23" ht="15" customHeight="1" s="33">
      <c r="A23" s="57" t="n"/>
      <c r="B23" s="57" t="n"/>
      <c r="D23" s="62" t="n"/>
    </row>
    <row r="24" ht="15" customHeight="1" s="33">
      <c r="A24" s="57" t="n"/>
      <c r="B24" s="57" t="n"/>
      <c r="D24" s="62" t="n"/>
    </row>
    <row r="25" ht="15" customHeight="1" s="33">
      <c r="A25" s="57" t="n"/>
      <c r="B25" s="57" t="n"/>
      <c r="D25" s="62" t="n"/>
    </row>
    <row r="26" ht="15" customHeight="1" s="33">
      <c r="A26" s="57" t="n"/>
      <c r="B26" s="57" t="n"/>
      <c r="D26" s="62" t="n"/>
    </row>
    <row r="27" ht="15" customHeight="1" s="33">
      <c r="A27" s="57" t="n"/>
      <c r="B27" s="57" t="n"/>
      <c r="D27" s="62" t="n"/>
    </row>
    <row r="28" ht="15" customHeight="1" s="33">
      <c r="A28" s="57" t="n"/>
      <c r="B28" s="57" t="n"/>
      <c r="D28" s="62" t="n"/>
    </row>
    <row r="29" ht="15" customHeight="1" s="33">
      <c r="A29" s="57" t="n"/>
      <c r="B29" s="57" t="n"/>
      <c r="D29" s="62" t="n"/>
    </row>
    <row r="30" ht="15" customHeight="1" s="33">
      <c r="A30" s="57" t="n"/>
      <c r="B30" s="57" t="n"/>
      <c r="D30" s="62" t="n"/>
    </row>
    <row r="31" ht="15" customHeight="1" s="33">
      <c r="A31" s="57" t="n"/>
      <c r="B31" s="57" t="n"/>
      <c r="D31" s="62" t="n"/>
    </row>
    <row r="32" ht="15" customHeight="1" s="33">
      <c r="A32" s="57" t="n"/>
      <c r="B32" s="57" t="n"/>
      <c r="D32" s="62" t="n"/>
    </row>
    <row r="33" ht="15" customHeight="1" s="33">
      <c r="A33" s="57" t="n"/>
      <c r="B33" s="57" t="n"/>
      <c r="D33" s="62" t="n"/>
    </row>
    <row r="34" ht="15" customHeight="1" s="33">
      <c r="A34" s="57" t="n"/>
      <c r="B34" s="57" t="n"/>
      <c r="D34" s="62" t="n"/>
    </row>
    <row r="35" ht="15" customHeight="1" s="33">
      <c r="A35" s="57" t="n"/>
      <c r="B35" s="57" t="n"/>
    </row>
    <row r="36" ht="15" customHeight="1" s="33">
      <c r="A36" s="57" t="n"/>
      <c r="B36" s="57" t="n"/>
    </row>
    <row r="37" ht="15" customHeight="1" s="33">
      <c r="A37" s="57" t="n"/>
      <c r="B37" s="57" t="n"/>
    </row>
    <row r="38" ht="15" customHeight="1" s="33">
      <c r="A38" s="57" t="n"/>
      <c r="B38" s="57" t="n"/>
    </row>
    <row r="39" ht="15" customHeight="1" s="33">
      <c r="A39" s="57" t="n"/>
      <c r="B39" s="57" t="n"/>
    </row>
    <row r="40" ht="15" customHeight="1" s="33">
      <c r="A40" s="57" t="n"/>
      <c r="B40" s="57" t="n"/>
    </row>
    <row r="41" ht="15" customHeight="1" s="33">
      <c r="A41" s="57" t="n"/>
      <c r="B41" s="57" t="n"/>
    </row>
    <row r="42" ht="15" customHeight="1" s="33">
      <c r="A42" s="57" t="n"/>
      <c r="B42" s="57" t="n"/>
    </row>
    <row r="43" ht="15" customHeight="1" s="33">
      <c r="A43" s="57" t="n"/>
      <c r="B43" s="57" t="n"/>
    </row>
    <row r="44" ht="15" customHeight="1" s="33">
      <c r="A44" s="57" t="n"/>
      <c r="B44" s="57" t="n"/>
    </row>
    <row r="45" ht="15" customHeight="1" s="33">
      <c r="A45" s="57" t="n"/>
      <c r="B45" s="57" t="n"/>
    </row>
    <row r="46" ht="15" customHeight="1" s="33">
      <c r="A46" s="57" t="n"/>
      <c r="B46" s="57" t="n"/>
    </row>
    <row r="47" ht="15" customHeight="1" s="33">
      <c r="A47" s="57" t="n"/>
      <c r="B47" s="57" t="n"/>
    </row>
    <row r="48" ht="15" customHeight="1" s="33">
      <c r="A48" s="57" t="n"/>
      <c r="B48" s="57" t="n"/>
    </row>
    <row r="49" ht="15" customHeight="1" s="33">
      <c r="A49" s="57" t="n"/>
      <c r="B49" s="57" t="n"/>
    </row>
    <row r="50" ht="15" customHeight="1" s="33">
      <c r="A50" s="57" t="n"/>
      <c r="B50" s="57" t="n"/>
    </row>
    <row r="51" ht="15" customHeight="1" s="33">
      <c r="A51" s="57" t="n"/>
      <c r="B51" s="57" t="n"/>
    </row>
    <row r="52" ht="15" customHeight="1" s="33">
      <c r="A52" s="57" t="n"/>
      <c r="B52" s="57" t="n"/>
    </row>
    <row r="53" ht="15" customHeight="1" s="33">
      <c r="A53" s="57" t="n"/>
      <c r="B53" s="57" t="n"/>
    </row>
    <row r="54" ht="15" customHeight="1" s="33">
      <c r="A54" s="57" t="n"/>
      <c r="B54" s="57" t="n"/>
    </row>
    <row r="55" ht="15" customHeight="1" s="33">
      <c r="A55" s="57" t="n"/>
      <c r="B55" s="57" t="n"/>
    </row>
    <row r="56" ht="15" customHeight="1" s="33">
      <c r="A56" s="57" t="n"/>
      <c r="B56" s="57" t="n"/>
    </row>
    <row r="57" ht="15" customHeight="1" s="33">
      <c r="A57" s="57" t="n"/>
      <c r="B57" s="57" t="n"/>
    </row>
    <row r="58" ht="15" customHeight="1" s="33">
      <c r="A58" s="57" t="n"/>
      <c r="B58" s="57" t="n"/>
    </row>
    <row r="59" ht="15" customHeight="1" s="33">
      <c r="A59" s="57" t="n"/>
      <c r="B59" s="57" t="n"/>
    </row>
    <row r="60" ht="15" customHeight="1" s="33">
      <c r="A60" s="57" t="n"/>
      <c r="B60" s="57" t="n"/>
    </row>
    <row r="61" ht="15" customHeight="1" s="33">
      <c r="A61" s="57" t="n"/>
      <c r="B61" s="57" t="n"/>
    </row>
    <row r="62" ht="15" customHeight="1" s="33">
      <c r="A62" s="57" t="n"/>
      <c r="B62" s="57" t="n"/>
    </row>
    <row r="63" ht="15" customHeight="1" s="33">
      <c r="A63" s="57" t="n"/>
      <c r="B63" s="57" t="n"/>
    </row>
    <row r="64" ht="15" customHeight="1" s="33">
      <c r="A64" s="57" t="n"/>
      <c r="B64" s="57" t="n"/>
    </row>
    <row r="65" ht="15" customHeight="1" s="33">
      <c r="A65" s="57" t="n"/>
      <c r="B65" s="57" t="n"/>
    </row>
    <row r="66" ht="15" customHeight="1" s="33">
      <c r="A66" s="57" t="n"/>
      <c r="B66" s="57" t="n"/>
    </row>
    <row r="67" ht="15" customHeight="1" s="33">
      <c r="A67" s="57" t="n"/>
      <c r="B67" s="57" t="n"/>
    </row>
    <row r="68" ht="15" customHeight="1" s="33">
      <c r="A68" s="57" t="n"/>
      <c r="B68" s="57" t="n"/>
    </row>
    <row r="69" ht="15" customHeight="1" s="33">
      <c r="A69" s="57" t="n"/>
      <c r="B69" s="57" t="n"/>
    </row>
    <row r="70" ht="15" customHeight="1" s="33">
      <c r="A70" s="57" t="n"/>
      <c r="B70" s="57" t="n"/>
    </row>
    <row r="71" ht="15" customHeight="1" s="33">
      <c r="A71" s="57" t="n"/>
      <c r="B71" s="57" t="n"/>
    </row>
    <row r="72" ht="15" customHeight="1" s="33">
      <c r="A72" s="57" t="n"/>
      <c r="B72" s="57" t="n"/>
    </row>
    <row r="73" ht="15" customHeight="1" s="33">
      <c r="A73" s="57" t="n"/>
      <c r="B73" s="57" t="n"/>
    </row>
    <row r="74" ht="15" customHeight="1" s="33">
      <c r="A74" s="57" t="n"/>
      <c r="B74" s="57" t="n"/>
    </row>
    <row r="75" ht="15" customHeight="1" s="33">
      <c r="A75" s="57" t="n"/>
      <c r="B75" s="57" t="n"/>
    </row>
    <row r="76" ht="15" customHeight="1" s="33">
      <c r="A76" s="57" t="n"/>
      <c r="B76" s="57" t="n"/>
    </row>
    <row r="77" ht="15" customHeight="1" s="33">
      <c r="A77" s="57" t="n"/>
      <c r="B77" s="57" t="n"/>
    </row>
    <row r="78" ht="15" customHeight="1" s="33">
      <c r="A78" s="57" t="n"/>
      <c r="B78" s="57" t="n"/>
    </row>
    <row r="79" ht="15" customHeight="1" s="33">
      <c r="A79" s="57" t="n"/>
      <c r="B79" s="57" t="n"/>
    </row>
    <row r="80" ht="15" customHeight="1" s="33">
      <c r="A80" s="57" t="n"/>
      <c r="B80" s="57" t="n"/>
    </row>
    <row r="81" ht="15" customHeight="1" s="33">
      <c r="A81" s="57" t="n"/>
      <c r="B81" s="57" t="n"/>
    </row>
    <row r="82" ht="15" customHeight="1" s="33">
      <c r="A82" s="57" t="n"/>
      <c r="B82" s="57" t="n"/>
    </row>
    <row r="83" ht="15" customHeight="1" s="33">
      <c r="A83" s="57" t="n"/>
      <c r="B83" s="57" t="n"/>
    </row>
    <row r="84" ht="15" customHeight="1" s="33">
      <c r="A84" s="57" t="n"/>
      <c r="B84" s="5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5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32" min="1" max="1"/>
    <col width="22" customWidth="1" style="32" min="2" max="2"/>
    <col width="58" customWidth="1" style="32" min="3" max="3"/>
    <col width="34" customWidth="1" style="32" min="4" max="4"/>
    <col width="22" customWidth="1" style="32" min="5" max="5"/>
    <col width="24" customWidth="1" style="32" min="6" max="6"/>
  </cols>
  <sheetData>
    <row r="1" ht="17.35" customHeight="1" s="33">
      <c r="A1" s="52" t="inlineStr">
        <is>
          <t>Tipos de equipamento e preventivas que cada um gera</t>
        </is>
      </c>
    </row>
    <row r="2" ht="15" customHeight="1" s="33">
      <c r="A2" s="35" t="inlineStr">
        <is>
          <t>Fonte: Biblioteca de rotinas aprovada em 23/10/2026 (51 rotinas). Não editar: é a referência da importação.</t>
        </is>
      </c>
    </row>
    <row r="4" ht="15" customHeight="1" s="33">
      <c r="A4" s="59" t="inlineStr">
        <is>
          <t>Tipo</t>
        </is>
      </c>
      <c r="B4" s="59" t="inlineStr">
        <is>
          <t>Família</t>
        </is>
      </c>
      <c r="C4" s="59" t="inlineStr">
        <is>
          <t>Preventivas criadas</t>
        </is>
      </c>
      <c r="D4" s="59" t="inlineStr">
        <is>
          <t>Faixas necessárias</t>
        </is>
      </c>
      <c r="E4" s="59" t="inlineStr">
        <is>
          <t>Como cadastrar</t>
        </is>
      </c>
      <c r="F4" s="59" t="inlineStr">
        <is>
          <t>Categoria sugerida</t>
        </is>
      </c>
    </row>
    <row r="5" ht="15" customHeight="1" s="33">
      <c r="A5" s="63" t="inlineStr">
        <is>
          <t>Ar-condicionado split (hi-wall)</t>
        </is>
      </c>
      <c r="B5" s="63" t="inlineStr">
        <is>
          <t>Climatização</t>
        </is>
      </c>
      <c r="C5" s="63" t="inlineStr">
        <is>
          <t>CLI-SPL-M (mensal)</t>
        </is>
      </c>
      <c r="D5" s="63" t="inlineStr">
        <is>
          <t>Tensão, Corrente nominal</t>
        </is>
      </c>
      <c r="E5" s="63" t="inlineStr">
        <is>
          <t>1 linha por equipamento</t>
        </is>
      </c>
      <c r="F5" s="63" t="inlineStr">
        <is>
          <t>Climatização</t>
        </is>
      </c>
    </row>
    <row r="6" ht="15" customHeight="1" s="33">
      <c r="A6" s="63" t="inlineStr">
        <is>
          <t>Ar-condicionado split cassete</t>
        </is>
      </c>
      <c r="B6" s="63" t="inlineStr">
        <is>
          <t>Climatização</t>
        </is>
      </c>
      <c r="C6" s="63" t="inlineStr">
        <is>
          <t>CLI-CAS-M (mensal)</t>
        </is>
      </c>
      <c r="D6" s="63" t="inlineStr">
        <is>
          <t>Tensão, Corrente nominal</t>
        </is>
      </c>
      <c r="E6" s="63" t="inlineStr">
        <is>
          <t>1 linha por equipamento</t>
        </is>
      </c>
      <c r="F6" s="63" t="inlineStr">
        <is>
          <t>Climatização</t>
        </is>
      </c>
    </row>
    <row r="7" ht="15" customHeight="1" s="33">
      <c r="A7" s="63" t="inlineStr">
        <is>
          <t>Caixa de ventilação (insuflamento)</t>
        </is>
      </c>
      <c r="B7" s="63" t="inlineStr">
        <is>
          <t>Climatização</t>
        </is>
      </c>
      <c r="C7" s="63" t="inlineStr">
        <is>
          <t>CLI-CXV-M (mensal)</t>
        </is>
      </c>
      <c r="D7" s="63" t="inlineStr">
        <is>
          <t>—</t>
        </is>
      </c>
      <c r="E7" s="63" t="inlineStr">
        <is>
          <t>1 linha por equipamento</t>
        </is>
      </c>
      <c r="F7" s="63" t="inlineStr">
        <is>
          <t>Climatização</t>
        </is>
      </c>
    </row>
    <row r="8" ht="15" customHeight="1" s="33">
      <c r="A8" s="63" t="inlineStr">
        <is>
          <t>Ventilador (parede ou coluna)</t>
        </is>
      </c>
      <c r="B8" s="63" t="inlineStr">
        <is>
          <t>Climatização</t>
        </is>
      </c>
      <c r="C8" s="63" t="inlineStr">
        <is>
          <t>CLI-VEN-M (mensal)</t>
        </is>
      </c>
      <c r="D8" s="63" t="inlineStr">
        <is>
          <t>—</t>
        </is>
      </c>
      <c r="E8" s="63" t="inlineStr">
        <is>
          <t>1 linha por equipamento</t>
        </is>
      </c>
      <c r="F8" s="63" t="inlineStr">
        <is>
          <t>Climatização</t>
        </is>
      </c>
    </row>
    <row r="9" ht="23.85" customHeight="1" s="33">
      <c r="A9" s="63" t="inlineStr">
        <is>
          <t>Balcão refrigerado</t>
        </is>
      </c>
      <c r="B9" s="63" t="inlineStr">
        <is>
          <t>Refrigeração</t>
        </is>
      </c>
      <c r="C9" s="63" t="inlineStr">
        <is>
          <t>REF-BAL-M (mensal)</t>
        </is>
      </c>
      <c r="D9" s="63" t="inlineStr">
        <is>
          <t>Temperatura mín./máx., Pressões (terceirizada informa)</t>
        </is>
      </c>
      <c r="E9" s="63" t="inlineStr">
        <is>
          <t>1 linha por equipamento</t>
        </is>
      </c>
      <c r="F9" s="63" t="inlineStr">
        <is>
          <t>Refrigeração</t>
        </is>
      </c>
    </row>
    <row r="10" ht="35.05" customHeight="1" s="33">
      <c r="A10" s="63" t="inlineStr">
        <is>
          <t>Câmara frigorífica</t>
        </is>
      </c>
      <c r="B10" s="63" t="inlineStr">
        <is>
          <t>Refrigeração</t>
        </is>
      </c>
      <c r="C10" s="63" t="inlineStr">
        <is>
          <t>REF-CAM-T (trimestral, terceirizada)</t>
        </is>
      </c>
      <c r="D10" s="63" t="inlineStr">
        <is>
          <t>Temperatura mín./máx., Tensão, Corrente nominal, Pressões (terceirizada informa)</t>
        </is>
      </c>
      <c r="E10" s="63" t="inlineStr">
        <is>
          <t>1 linha por equipamento</t>
        </is>
      </c>
      <c r="F10" s="63" t="inlineStr">
        <is>
          <t>Refrigeração</t>
        </is>
      </c>
    </row>
    <row r="11" ht="15" customHeight="1" s="33">
      <c r="A11" s="63" t="inlineStr">
        <is>
          <t>Banho-maria</t>
        </is>
      </c>
      <c r="B11" s="63" t="inlineStr">
        <is>
          <t>Cocção a gás</t>
        </is>
      </c>
      <c r="C11" s="63" t="inlineStr">
        <is>
          <t>GAS-BAN-M (mensal)</t>
        </is>
      </c>
      <c r="D11" s="63" t="inlineStr">
        <is>
          <t>—</t>
        </is>
      </c>
      <c r="E11" s="63" t="inlineStr">
        <is>
          <t>1 linha por equipamento</t>
        </is>
      </c>
      <c r="F11" s="63" t="inlineStr">
        <is>
          <t>Equipamentos de cozinha</t>
        </is>
      </c>
    </row>
    <row r="12" ht="15" customHeight="1" s="33">
      <c r="A12" s="63" t="inlineStr">
        <is>
          <t>Chapa</t>
        </is>
      </c>
      <c r="B12" s="63" t="inlineStr">
        <is>
          <t>Cocção a gás</t>
        </is>
      </c>
      <c r="C12" s="63" t="inlineStr">
        <is>
          <t>GAS-CHA-M (mensal)</t>
        </is>
      </c>
      <c r="D12" s="63" t="inlineStr">
        <is>
          <t>—</t>
        </is>
      </c>
      <c r="E12" s="63" t="inlineStr">
        <is>
          <t>1 linha por equipamento</t>
        </is>
      </c>
      <c r="F12" s="63" t="inlineStr">
        <is>
          <t>Equipamentos de cozinha</t>
        </is>
      </c>
    </row>
    <row r="13" ht="15" customHeight="1" s="33">
      <c r="A13" s="63" t="inlineStr">
        <is>
          <t>Fogão</t>
        </is>
      </c>
      <c r="B13" s="63" t="inlineStr">
        <is>
          <t>Cocção a gás</t>
        </is>
      </c>
      <c r="C13" s="63" t="inlineStr">
        <is>
          <t>GAS-FOG-M (mensal)</t>
        </is>
      </c>
      <c r="D13" s="63" t="inlineStr">
        <is>
          <t>—</t>
        </is>
      </c>
      <c r="E13" s="63" t="inlineStr">
        <is>
          <t>1 linha por equipamento</t>
        </is>
      </c>
      <c r="F13" s="63" t="inlineStr">
        <is>
          <t>Equipamentos de cozinha</t>
        </is>
      </c>
    </row>
    <row r="14" ht="15" customHeight="1" s="33">
      <c r="A14" s="63" t="inlineStr">
        <is>
          <t>Fritadeira a gás</t>
        </is>
      </c>
      <c r="B14" s="63" t="inlineStr">
        <is>
          <t>Cocção a gás</t>
        </is>
      </c>
      <c r="C14" s="63" t="inlineStr">
        <is>
          <t>GAS-FRI-M (mensal)</t>
        </is>
      </c>
      <c r="D14" s="63" t="inlineStr">
        <is>
          <t>—</t>
        </is>
      </c>
      <c r="E14" s="63" t="inlineStr">
        <is>
          <t>1 linha por equipamento</t>
        </is>
      </c>
      <c r="F14" s="63" t="inlineStr">
        <is>
          <t>Equipamentos de cozinha</t>
        </is>
      </c>
    </row>
    <row r="15" ht="15" customHeight="1" s="33">
      <c r="A15" s="63" t="inlineStr">
        <is>
          <t>Fritadeira de batata palha</t>
        </is>
      </c>
      <c r="B15" s="63" t="inlineStr">
        <is>
          <t>Cocção a gás</t>
        </is>
      </c>
      <c r="C15" s="63" t="inlineStr">
        <is>
          <t>GAS-FBP-M (mensal)</t>
        </is>
      </c>
      <c r="D15" s="63" t="inlineStr">
        <is>
          <t>—</t>
        </is>
      </c>
      <c r="E15" s="63" t="inlineStr">
        <is>
          <t>1 linha por equipamento</t>
        </is>
      </c>
      <c r="F15" s="63" t="inlineStr">
        <is>
          <t>Equipamentos de cozinha</t>
        </is>
      </c>
    </row>
    <row r="16" ht="15" customHeight="1" s="33">
      <c r="A16" s="63" t="inlineStr">
        <is>
          <t>Salamandra</t>
        </is>
      </c>
      <c r="B16" s="63" t="inlineStr">
        <is>
          <t>Cocção a gás</t>
        </is>
      </c>
      <c r="C16" s="63" t="inlineStr">
        <is>
          <t>GAS-SAL-M (mensal)</t>
        </is>
      </c>
      <c r="D16" s="63" t="inlineStr">
        <is>
          <t>—</t>
        </is>
      </c>
      <c r="E16" s="63" t="inlineStr">
        <is>
          <t>1 linha por equipamento</t>
        </is>
      </c>
      <c r="F16" s="63" t="inlineStr">
        <is>
          <t>Equipamentos de cozinha</t>
        </is>
      </c>
    </row>
    <row r="17" ht="15" customHeight="1" s="33">
      <c r="A17" s="63" t="inlineStr">
        <is>
          <t>Forno combinado Rational</t>
        </is>
      </c>
      <c r="B17" s="63" t="inlineStr">
        <is>
          <t>Cocção elétrica e fornos</t>
        </is>
      </c>
      <c r="C17" s="63" t="inlineStr">
        <is>
          <t>COC-FCR-M (mensal)</t>
        </is>
      </c>
      <c r="D17" s="63" t="inlineStr">
        <is>
          <t>—</t>
        </is>
      </c>
      <c r="E17" s="63" t="inlineStr">
        <is>
          <t>1 linha por equipamento</t>
        </is>
      </c>
      <c r="F17" s="63" t="inlineStr">
        <is>
          <t>Equipamentos de cozinha</t>
        </is>
      </c>
    </row>
    <row r="18" ht="15" customHeight="1" s="33">
      <c r="A18" s="63" t="inlineStr">
        <is>
          <t>Forno combinado Unox</t>
        </is>
      </c>
      <c r="B18" s="63" t="inlineStr">
        <is>
          <t>Cocção elétrica e fornos</t>
        </is>
      </c>
      <c r="C18" s="63" t="inlineStr">
        <is>
          <t>COC-FCU-M (mensal)</t>
        </is>
      </c>
      <c r="D18" s="63" t="inlineStr">
        <is>
          <t>—</t>
        </is>
      </c>
      <c r="E18" s="63" t="inlineStr">
        <is>
          <t>1 linha por equipamento</t>
        </is>
      </c>
      <c r="F18" s="63" t="inlineStr">
        <is>
          <t>Equipamentos de cozinha</t>
        </is>
      </c>
    </row>
    <row r="19" ht="15" customHeight="1" s="33">
      <c r="A19" s="63" t="inlineStr">
        <is>
          <t>Forno Copa Express</t>
        </is>
      </c>
      <c r="B19" s="63" t="inlineStr">
        <is>
          <t>Cocção elétrica e fornos</t>
        </is>
      </c>
      <c r="C19" s="63" t="inlineStr">
        <is>
          <t>COC-FCE-M (mensal)</t>
        </is>
      </c>
      <c r="D19" s="63" t="inlineStr">
        <is>
          <t>—</t>
        </is>
      </c>
      <c r="E19" s="63" t="inlineStr">
        <is>
          <t>1 linha por equipamento</t>
        </is>
      </c>
      <c r="F19" s="63" t="inlineStr">
        <is>
          <t>Equipamentos de cozinha</t>
        </is>
      </c>
    </row>
    <row r="20" ht="15" customHeight="1" s="33">
      <c r="A20" s="63" t="inlineStr">
        <is>
          <t>Forno Miniconv</t>
        </is>
      </c>
      <c r="B20" s="63" t="inlineStr">
        <is>
          <t>Cocção elétrica e fornos</t>
        </is>
      </c>
      <c r="C20" s="63" t="inlineStr">
        <is>
          <t>COC-FMC-M (mensal)</t>
        </is>
      </c>
      <c r="D20" s="63" t="inlineStr">
        <is>
          <t>Tensão, Corrente nominal</t>
        </is>
      </c>
      <c r="E20" s="63" t="inlineStr">
        <is>
          <t>1 linha por equipamento</t>
        </is>
      </c>
      <c r="F20" s="63" t="inlineStr">
        <is>
          <t>Equipamentos de cozinha</t>
        </is>
      </c>
    </row>
    <row r="21" ht="15" customHeight="1" s="33">
      <c r="A21" s="63" t="inlineStr">
        <is>
          <t>Fritadeira elétrica (churros e sushi)</t>
        </is>
      </c>
      <c r="B21" s="63" t="inlineStr">
        <is>
          <t>Cocção elétrica e fornos</t>
        </is>
      </c>
      <c r="C21" s="63" t="inlineStr">
        <is>
          <t>COC-FCS-M (mensal)</t>
        </is>
      </c>
      <c r="D21" s="63" t="inlineStr">
        <is>
          <t>—</t>
        </is>
      </c>
      <c r="E21" s="63" t="inlineStr">
        <is>
          <t>1 linha por equipamento</t>
        </is>
      </c>
      <c r="F21" s="63" t="inlineStr">
        <is>
          <t>Equipamentos de cozinha</t>
        </is>
      </c>
    </row>
    <row r="22" ht="15" customHeight="1" s="33">
      <c r="A22" s="63" t="inlineStr">
        <is>
          <t>Mantenedor de batata</t>
        </is>
      </c>
      <c r="B22" s="63" t="inlineStr">
        <is>
          <t>Cocção elétrica e fornos</t>
        </is>
      </c>
      <c r="C22" s="63" t="inlineStr">
        <is>
          <t>COC-MBT-M (mensal)</t>
        </is>
      </c>
      <c r="D22" s="63" t="inlineStr">
        <is>
          <t>—</t>
        </is>
      </c>
      <c r="E22" s="63" t="inlineStr">
        <is>
          <t>1 linha por equipamento</t>
        </is>
      </c>
      <c r="F22" s="63" t="inlineStr">
        <is>
          <t>Equipamentos de cozinha</t>
        </is>
      </c>
    </row>
    <row r="23" ht="15" customHeight="1" s="33">
      <c r="A23" s="63" t="inlineStr">
        <is>
          <t>Coifa convencional</t>
        </is>
      </c>
      <c r="B23" s="63" t="inlineStr">
        <is>
          <t>Exaustão</t>
        </is>
      </c>
      <c r="C23" s="63" t="inlineStr">
        <is>
          <t>EXA-CCV-S (semanal); EXA-CCV-SE (semestral, terceirizada)</t>
        </is>
      </c>
      <c r="D23" s="63" t="inlineStr">
        <is>
          <t>—</t>
        </is>
      </c>
      <c r="E23" s="63" t="inlineStr">
        <is>
          <t>1 linha por equipamento</t>
        </is>
      </c>
      <c r="F23" s="63" t="inlineStr">
        <is>
          <t>Exaustão</t>
        </is>
      </c>
    </row>
    <row r="24" ht="23.85" customHeight="1" s="33">
      <c r="A24" s="63" t="inlineStr">
        <is>
          <t>Coifa lavadora</t>
        </is>
      </c>
      <c r="B24" s="63" t="inlineStr">
        <is>
          <t>Exaustão</t>
        </is>
      </c>
      <c r="C24" s="63" t="inlineStr">
        <is>
          <t>EXA-CLV-S (semanal); EXA-CLV-M (mensal, terceirizada); EXA-CLV-SE (semestral, terceirizada)</t>
        </is>
      </c>
      <c r="D24" s="63" t="inlineStr">
        <is>
          <t>—</t>
        </is>
      </c>
      <c r="E24" s="63" t="inlineStr">
        <is>
          <t>1 linha por equipamento</t>
        </is>
      </c>
      <c r="F24" s="63" t="inlineStr">
        <is>
          <t>Exaustão</t>
        </is>
      </c>
    </row>
    <row r="25" ht="15" customHeight="1" s="33">
      <c r="A25" s="63" t="inlineStr">
        <is>
          <t>Duto de exaustão</t>
        </is>
      </c>
      <c r="B25" s="63" t="inlineStr">
        <is>
          <t>Exaustão</t>
        </is>
      </c>
      <c r="C25" s="63" t="inlineStr">
        <is>
          <t>EXA-DUT-SE (semestral, terceirizada)</t>
        </is>
      </c>
      <c r="D25" s="63" t="inlineStr">
        <is>
          <t>—</t>
        </is>
      </c>
      <c r="E25" s="63" t="inlineStr">
        <is>
          <t>1 linha por equipamento</t>
        </is>
      </c>
      <c r="F25" s="63" t="inlineStr">
        <is>
          <t>Exaustão</t>
        </is>
      </c>
    </row>
    <row r="26" ht="15" customHeight="1" s="33">
      <c r="A26" s="63" t="inlineStr">
        <is>
          <t>Exaustor</t>
        </is>
      </c>
      <c r="B26" s="63" t="inlineStr">
        <is>
          <t>Exaustão</t>
        </is>
      </c>
      <c r="C26" s="63" t="inlineStr">
        <is>
          <t>EXA-EXT-M (mensal)</t>
        </is>
      </c>
      <c r="D26" s="63" t="inlineStr">
        <is>
          <t>Corrente nominal</t>
        </is>
      </c>
      <c r="E26" s="63" t="inlineStr">
        <is>
          <t>1 linha por equipamento</t>
        </is>
      </c>
      <c r="F26" s="63" t="inlineStr">
        <is>
          <t>Exaustão</t>
        </is>
      </c>
    </row>
    <row r="27" ht="15" customHeight="1" s="33">
      <c r="A27" s="63" t="inlineStr">
        <is>
          <t>Máquina de gelo</t>
        </is>
      </c>
      <c r="B27" s="63" t="inlineStr">
        <is>
          <t>Lavagem e gelo</t>
        </is>
      </c>
      <c r="C27" s="63" t="inlineStr">
        <is>
          <t>LAV-GEL-S (semanal); LAV-GEL-M (mensal, terceirizada)</t>
        </is>
      </c>
      <c r="D27" s="63" t="inlineStr">
        <is>
          <t>—</t>
        </is>
      </c>
      <c r="E27" s="63" t="inlineStr">
        <is>
          <t>1 linha por equipamento</t>
        </is>
      </c>
      <c r="F27" s="63" t="inlineStr">
        <is>
          <t>Equipamentos de cozinha</t>
        </is>
      </c>
    </row>
    <row r="28" ht="15" customHeight="1" s="33">
      <c r="A28" s="63" t="inlineStr">
        <is>
          <t>Máquina de lavar copos</t>
        </is>
      </c>
      <c r="B28" s="63" t="inlineStr">
        <is>
          <t>Lavagem e gelo</t>
        </is>
      </c>
      <c r="C28" s="63" t="inlineStr">
        <is>
          <t>LAV-COP-M (mensal)</t>
        </is>
      </c>
      <c r="D28" s="63" t="inlineStr">
        <is>
          <t>—</t>
        </is>
      </c>
      <c r="E28" s="63" t="inlineStr">
        <is>
          <t>1 linha por equipamento</t>
        </is>
      </c>
      <c r="F28" s="63" t="inlineStr">
        <is>
          <t>Equipamentos de cozinha</t>
        </is>
      </c>
    </row>
    <row r="29" ht="15" customHeight="1" s="33">
      <c r="A29" s="63" t="inlineStr">
        <is>
          <t>Máquina de lavar pratos</t>
        </is>
      </c>
      <c r="B29" s="63" t="inlineStr">
        <is>
          <t>Lavagem e gelo</t>
        </is>
      </c>
      <c r="C29" s="63" t="inlineStr">
        <is>
          <t>LAV-PRA-M (mensal)</t>
        </is>
      </c>
      <c r="D29" s="63" t="inlineStr">
        <is>
          <t>Tensão</t>
        </is>
      </c>
      <c r="E29" s="63" t="inlineStr">
        <is>
          <t>1 linha por equipamento</t>
        </is>
      </c>
      <c r="F29" s="63" t="inlineStr">
        <is>
          <t>Equipamentos de cozinha</t>
        </is>
      </c>
    </row>
    <row r="30" ht="15" customHeight="1" s="33">
      <c r="A30" s="63" t="inlineStr">
        <is>
          <t>Rede de gás</t>
        </is>
      </c>
      <c r="B30" s="63" t="inlineStr">
        <is>
          <t>Incêndio e gás</t>
        </is>
      </c>
      <c r="C30" s="63" t="inlineStr">
        <is>
          <t>INC-VGS-S (semanal)</t>
        </is>
      </c>
      <c r="D30" s="63" t="inlineStr">
        <is>
          <t>—</t>
        </is>
      </c>
      <c r="E30" s="63" t="inlineStr">
        <is>
          <t>1 por loja</t>
        </is>
      </c>
      <c r="F30" s="63" t="inlineStr">
        <is>
          <t>Segurança</t>
        </is>
      </c>
    </row>
    <row r="31" ht="15" customHeight="1" s="33">
      <c r="A31" s="63" t="inlineStr">
        <is>
          <t>Extintor</t>
        </is>
      </c>
      <c r="B31" s="63" t="inlineStr">
        <is>
          <t>Incêndio e gás</t>
        </is>
      </c>
      <c r="C31" s="63" t="inlineStr">
        <is>
          <t>INC-EXT-S (semanal); INC-EXT-A (anual, terceirizada)</t>
        </is>
      </c>
      <c r="D31" s="63" t="inlineStr">
        <is>
          <t>—</t>
        </is>
      </c>
      <c r="E31" s="63" t="inlineStr">
        <is>
          <t>1 linha por equipamento</t>
        </is>
      </c>
      <c r="F31" s="63" t="inlineStr">
        <is>
          <t>Segurança</t>
        </is>
      </c>
    </row>
    <row r="32" ht="15" customHeight="1" s="33">
      <c r="A32" s="63" t="inlineStr">
        <is>
          <t>Cilindro de saponificante</t>
        </is>
      </c>
      <c r="B32" s="63" t="inlineStr">
        <is>
          <t>Incêndio e gás</t>
        </is>
      </c>
      <c r="C32" s="63" t="inlineStr">
        <is>
          <t>INC-SAP-S (semanal); INC-SAP-5A (a cada 5 anos, terceirizada)</t>
        </is>
      </c>
      <c r="D32" s="63" t="inlineStr">
        <is>
          <t>—</t>
        </is>
      </c>
      <c r="E32" s="63" t="inlineStr">
        <is>
          <t>1 linha por equipamento</t>
        </is>
      </c>
      <c r="F32" s="63" t="inlineStr">
        <is>
          <t>Segurança</t>
        </is>
      </c>
    </row>
    <row r="33" ht="15" customHeight="1" s="33">
      <c r="A33" s="63" t="inlineStr">
        <is>
          <t>Sistema saponificante, CO₂ e dampers</t>
        </is>
      </c>
      <c r="B33" s="63" t="inlineStr">
        <is>
          <t>Incêndio e gás</t>
        </is>
      </c>
      <c r="C33" s="63" t="inlineStr">
        <is>
          <t>INC-SAP-M (mensal)</t>
        </is>
      </c>
      <c r="D33" s="63" t="inlineStr">
        <is>
          <t>—</t>
        </is>
      </c>
      <c r="E33" s="63" t="inlineStr">
        <is>
          <t>1 por loja</t>
        </is>
      </c>
      <c r="F33" s="63" t="inlineStr">
        <is>
          <t>Segurança</t>
        </is>
      </c>
    </row>
    <row r="34" ht="15" customHeight="1" s="33">
      <c r="A34" s="63" t="inlineStr">
        <is>
          <t>Sistema de detecção de gás</t>
        </is>
      </c>
      <c r="B34" s="63" t="inlineStr">
        <is>
          <t>Incêndio e gás</t>
        </is>
      </c>
      <c r="C34" s="63" t="inlineStr">
        <is>
          <t>INC-DGS-M (mensal)</t>
        </is>
      </c>
      <c r="D34" s="63" t="inlineStr">
        <is>
          <t>—</t>
        </is>
      </c>
      <c r="E34" s="63" t="inlineStr">
        <is>
          <t>1 por loja</t>
        </is>
      </c>
      <c r="F34" s="63" t="inlineStr">
        <is>
          <t>Segurança</t>
        </is>
      </c>
    </row>
    <row r="35" ht="15" customHeight="1" s="33">
      <c r="A35" s="63" t="inlineStr">
        <is>
          <t>Alarme e detectores de fumaça</t>
        </is>
      </c>
      <c r="B35" s="63" t="inlineStr">
        <is>
          <t>Incêndio e gás</t>
        </is>
      </c>
      <c r="C35" s="63" t="inlineStr">
        <is>
          <t>INC-ALA-M (mensal)</t>
        </is>
      </c>
      <c r="D35" s="63" t="inlineStr">
        <is>
          <t>—</t>
        </is>
      </c>
      <c r="E35" s="63" t="inlineStr">
        <is>
          <t>1 por loja</t>
        </is>
      </c>
      <c r="F35" s="63" t="inlineStr">
        <is>
          <t>Segurança</t>
        </is>
      </c>
    </row>
    <row r="36" ht="15" customHeight="1" s="33">
      <c r="A36" s="63" t="inlineStr">
        <is>
          <t>Luminária de emergência</t>
        </is>
      </c>
      <c r="B36" s="63" t="inlineStr">
        <is>
          <t>Incêndio e gás</t>
        </is>
      </c>
      <c r="C36" s="63" t="inlineStr">
        <is>
          <t>INC-LUM-M (mensal)</t>
        </is>
      </c>
      <c r="D36" s="63" t="inlineStr">
        <is>
          <t>—</t>
        </is>
      </c>
      <c r="E36" s="63" t="inlineStr">
        <is>
          <t>1 linha por equipamento</t>
        </is>
      </c>
      <c r="F36" s="63" t="inlineStr">
        <is>
          <t>Segurança</t>
        </is>
      </c>
    </row>
    <row r="37" ht="15" customHeight="1" s="33">
      <c r="A37" s="63" t="inlineStr">
        <is>
          <t>Bomba dos hidrantes</t>
        </is>
      </c>
      <c r="B37" s="63" t="inlineStr">
        <is>
          <t>Incêndio e gás</t>
        </is>
      </c>
      <c r="C37" s="63" t="inlineStr">
        <is>
          <t>INC-BOM-T (trimestral)</t>
        </is>
      </c>
      <c r="D37" s="63" t="inlineStr">
        <is>
          <t>—</t>
        </is>
      </c>
      <c r="E37" s="63" t="inlineStr">
        <is>
          <t>1 por loja</t>
        </is>
      </c>
      <c r="F37" s="63" t="inlineStr">
        <is>
          <t>Segurança</t>
        </is>
      </c>
    </row>
    <row r="38" ht="15" customHeight="1" s="33">
      <c r="A38" s="63" t="inlineStr">
        <is>
          <t>Brigada de incêndio</t>
        </is>
      </c>
      <c r="B38" s="63" t="inlineStr">
        <is>
          <t>Incêndio e gás</t>
        </is>
      </c>
      <c r="C38" s="63" t="inlineStr">
        <is>
          <t>INC-BRI-Q (quadrimestral, terceirizada)</t>
        </is>
      </c>
      <c r="D38" s="63" t="inlineStr">
        <is>
          <t>—</t>
        </is>
      </c>
      <c r="E38" s="63" t="inlineStr">
        <is>
          <t>1 por loja</t>
        </is>
      </c>
      <c r="F38" s="63" t="inlineStr">
        <is>
          <t>Segurança</t>
        </is>
      </c>
    </row>
    <row r="39" ht="15" customHeight="1" s="33">
      <c r="A39" s="63" t="inlineStr">
        <is>
          <t>Extintor de CO₂ dos dutos</t>
        </is>
      </c>
      <c r="B39" s="63" t="inlineStr">
        <is>
          <t>Incêndio e gás</t>
        </is>
      </c>
      <c r="C39" s="63" t="inlineStr">
        <is>
          <t>INC-CO2-A (anual, terceirizada)</t>
        </is>
      </c>
      <c r="D39" s="63" t="inlineStr">
        <is>
          <t>—</t>
        </is>
      </c>
      <c r="E39" s="63" t="inlineStr">
        <is>
          <t>1 linha por equipamento</t>
        </is>
      </c>
      <c r="F39" s="63" t="inlineStr">
        <is>
          <t>Segurança</t>
        </is>
      </c>
    </row>
    <row r="40" ht="15" customHeight="1" s="33">
      <c r="A40" s="63" t="inlineStr">
        <is>
          <t>Tubulação de gás</t>
        </is>
      </c>
      <c r="B40" s="63" t="inlineStr">
        <is>
          <t>Incêndio e gás</t>
        </is>
      </c>
      <c r="C40" s="63" t="inlineStr">
        <is>
          <t>INC-EST-A (anual, terceirizada)</t>
        </is>
      </c>
      <c r="D40" s="63" t="inlineStr">
        <is>
          <t>—</t>
        </is>
      </c>
      <c r="E40" s="63" t="inlineStr">
        <is>
          <t>1 por loja</t>
        </is>
      </c>
      <c r="F40" s="63" t="inlineStr">
        <is>
          <t>Segurança</t>
        </is>
      </c>
    </row>
    <row r="41" ht="15" customHeight="1" s="33">
      <c r="A41" s="63" t="inlineStr">
        <is>
          <t>Mangueira de hidrante</t>
        </is>
      </c>
      <c r="B41" s="63" t="inlineStr">
        <is>
          <t>Incêndio e gás</t>
        </is>
      </c>
      <c r="C41" s="63" t="inlineStr">
        <is>
          <t>INC-HID-A (anual, terceirizada)</t>
        </is>
      </c>
      <c r="D41" s="63" t="inlineStr">
        <is>
          <t>—</t>
        </is>
      </c>
      <c r="E41" s="63" t="inlineStr">
        <is>
          <t>1 linha por equipamento</t>
        </is>
      </c>
      <c r="F41" s="63" t="inlineStr">
        <is>
          <t>Segurança</t>
        </is>
      </c>
    </row>
    <row r="42" ht="23.85" customHeight="1" s="33">
      <c r="A42" s="63" t="inlineStr">
        <is>
          <t>Gerador</t>
        </is>
      </c>
      <c r="B42" s="63" t="inlineStr">
        <is>
          <t>Elétrica e energia</t>
        </is>
      </c>
      <c r="C42" s="63" t="inlineStr">
        <is>
          <t>ELE-GER-S (semanal); ELE-GER-M (mensal); ELE-GER-A (anual, terceirizada)</t>
        </is>
      </c>
      <c r="D42" s="63" t="inlineStr">
        <is>
          <t>Tempo de partida (fabricante)</t>
        </is>
      </c>
      <c r="E42" s="63" t="inlineStr">
        <is>
          <t>1 por loja</t>
        </is>
      </c>
      <c r="F42" s="63" t="inlineStr">
        <is>
          <t>Elétrica</t>
        </is>
      </c>
    </row>
    <row r="43" ht="15" customHeight="1" s="33">
      <c r="A43" s="63" t="inlineStr">
        <is>
          <t>Quadro elétrico</t>
        </is>
      </c>
      <c r="B43" s="63" t="inlineStr">
        <is>
          <t>Elétrica e energia</t>
        </is>
      </c>
      <c r="C43" s="63" t="inlineStr">
        <is>
          <t>ELE-QDE-SE (semestral)</t>
        </is>
      </c>
      <c r="D43" s="63" t="inlineStr">
        <is>
          <t>—</t>
        </is>
      </c>
      <c r="E43" s="63" t="inlineStr">
        <is>
          <t>1 linha por equipamento</t>
        </is>
      </c>
      <c r="F43" s="63" t="inlineStr">
        <is>
          <t>Elétrica</t>
        </is>
      </c>
    </row>
    <row r="44" ht="15" customHeight="1" s="33">
      <c r="A44" s="63" t="inlineStr">
        <is>
          <t>Nobreak (servidor e KDS)</t>
        </is>
      </c>
      <c r="B44" s="63" t="inlineStr">
        <is>
          <t>Tecnologia</t>
        </is>
      </c>
      <c r="C44" s="63" t="inlineStr">
        <is>
          <t>TI-NOB-M (mensal)</t>
        </is>
      </c>
      <c r="D44" s="63" t="inlineStr">
        <is>
          <t>—</t>
        </is>
      </c>
      <c r="E44" s="63" t="inlineStr">
        <is>
          <t>1 linha por equipamento</t>
        </is>
      </c>
      <c r="F44" s="63" t="inlineStr">
        <is>
          <t>TI e KDS</t>
        </is>
      </c>
    </row>
    <row r="45" ht="15" customHeight="1" s="33">
      <c r="A45" s="63" t="inlineStr">
        <is>
          <t>Servidor e rack</t>
        </is>
      </c>
      <c r="B45" s="63" t="inlineStr">
        <is>
          <t>Tecnologia</t>
        </is>
      </c>
      <c r="C45" s="63" t="inlineStr">
        <is>
          <t>TI-SRV-A (anual, terceirizada)</t>
        </is>
      </c>
      <c r="D45" s="63" t="inlineStr">
        <is>
          <t>—</t>
        </is>
      </c>
      <c r="E45" s="63" t="inlineStr">
        <is>
          <t>1 por loja</t>
        </is>
      </c>
      <c r="F45" s="63" t="inlineStr">
        <is>
          <t>TI e KDS</t>
        </is>
      </c>
    </row>
    <row r="46" ht="15" customHeight="1" s="33">
      <c r="A46" s="63" t="inlineStr">
        <is>
          <t>Elevador / plataforma</t>
        </is>
      </c>
      <c r="B46" s="63" t="inlineStr">
        <is>
          <t>Predial</t>
        </is>
      </c>
      <c r="C46" s="63" t="inlineStr">
        <is>
          <t>PRE-ELV-M (mensal, terceirizada)</t>
        </is>
      </c>
      <c r="D46" s="63" t="inlineStr">
        <is>
          <t>—</t>
        </is>
      </c>
      <c r="E46" s="63" t="inlineStr">
        <is>
          <t>1 linha por equipamento</t>
        </is>
      </c>
      <c r="F46" s="63" t="inlineStr">
        <is>
          <t>Predial</t>
        </is>
      </c>
    </row>
    <row r="47" ht="15" customHeight="1" s="33">
      <c r="A47" s="63" t="inlineStr">
        <is>
          <t>Divisória acústica</t>
        </is>
      </c>
      <c r="B47" s="63" t="inlineStr">
        <is>
          <t>Predial</t>
        </is>
      </c>
      <c r="C47" s="63" t="inlineStr">
        <is>
          <t>PRE-DIV-M (mensal)</t>
        </is>
      </c>
      <c r="D47" s="63" t="inlineStr">
        <is>
          <t>—</t>
        </is>
      </c>
      <c r="E47" s="63" t="inlineStr">
        <is>
          <t>1 linha por equipamento</t>
        </is>
      </c>
      <c r="F47" s="63" t="inlineStr">
        <is>
          <t>Predial</t>
        </is>
      </c>
    </row>
    <row r="48" ht="15" customHeight="1" s="33">
      <c r="A48" s="64" t="inlineStr">
        <is>
          <t>Mobiliário</t>
        </is>
      </c>
      <c r="B48" s="64" t="inlineStr">
        <is>
          <t>Sem preventiva</t>
        </is>
      </c>
      <c r="C48" s="64" t="inlineStr">
        <is>
          <t>Só chamados</t>
        </is>
      </c>
      <c r="D48" s="64" t="inlineStr">
        <is>
          <t>—</t>
        </is>
      </c>
      <c r="E48" s="64" t="inlineStr">
        <is>
          <t>1 linha por item</t>
        </is>
      </c>
      <c r="F48" s="64" t="inlineStr">
        <is>
          <t>Móveis</t>
        </is>
      </c>
    </row>
    <row r="49" ht="15" customHeight="1" s="33">
      <c r="A49" s="64" t="inlineStr">
        <is>
          <t>TI e KDS</t>
        </is>
      </c>
      <c r="B49" s="64" t="inlineStr">
        <is>
          <t>Sem preventiva</t>
        </is>
      </c>
      <c r="C49" s="64" t="inlineStr">
        <is>
          <t>Só chamados</t>
        </is>
      </c>
      <c r="D49" s="64" t="inlineStr">
        <is>
          <t>—</t>
        </is>
      </c>
      <c r="E49" s="64" t="inlineStr">
        <is>
          <t>1 linha por item</t>
        </is>
      </c>
      <c r="F49" s="64" t="inlineStr">
        <is>
          <t>TI e KDS</t>
        </is>
      </c>
    </row>
    <row r="50" ht="15" customHeight="1" s="33">
      <c r="A50" s="64" t="inlineStr">
        <is>
          <t>Predial e estrutura</t>
        </is>
      </c>
      <c r="B50" s="64" t="inlineStr">
        <is>
          <t>Sem preventiva</t>
        </is>
      </c>
      <c r="C50" s="64" t="inlineStr">
        <is>
          <t>Só chamados</t>
        </is>
      </c>
      <c r="D50" s="64" t="inlineStr">
        <is>
          <t>—</t>
        </is>
      </c>
      <c r="E50" s="64" t="inlineStr">
        <is>
          <t>1 linha por item</t>
        </is>
      </c>
      <c r="F50" s="64" t="inlineStr">
        <is>
          <t>Predial</t>
        </is>
      </c>
    </row>
    <row r="51" ht="15" customHeight="1" s="33">
      <c r="A51" s="64" t="inlineStr">
        <is>
          <t>Outro equipamento</t>
        </is>
      </c>
      <c r="B51" s="64" t="inlineStr">
        <is>
          <t>Sem preventiva</t>
        </is>
      </c>
      <c r="C51" s="64" t="inlineStr">
        <is>
          <t>Só chamados</t>
        </is>
      </c>
      <c r="D51" s="64" t="inlineStr">
        <is>
          <t>—</t>
        </is>
      </c>
      <c r="E51" s="64" t="inlineStr">
        <is>
          <t>1 linha por item</t>
        </is>
      </c>
      <c r="F51" s="64" t="inlineStr">
        <is>
          <t>(escolha)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2026-10-23T14:49:04Z</dcterms:created>
  <dcterms:modified xmlns:dcterms="http://purl.org/dc/terms/" xmlns:xsi="http://www.w3.org/2001/XMLSchema-instance" xsi:type="dcterms:W3CDTF">2026-10-23T15:05:38Z</dcterms:modified>
  <cp:revision>0</cp:revision>
</cp:coreProperties>
</file>