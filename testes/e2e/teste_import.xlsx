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preencher" sheetId="1" state="visible" r:id="rId1"/>
    <sheet xmlns:r="http://schemas.openxmlformats.org/officeDocument/2006/relationships" name="Equipamentos" sheetId="2" state="visible" r:id="rId2"/>
    <sheet xmlns:r="http://schemas.openxmlformats.org/officeDocument/2006/relationships" name="Áreas e setores" sheetId="3" state="visible" r:id="rId3"/>
    <sheet xmlns:r="http://schemas.openxmlformats.org/officeDocument/2006/relationships" name="Reconhecimento" sheetId="4" state="visible" r:id="rId4"/>
    <sheet xmlns:r="http://schemas.openxmlformats.org/officeDocument/2006/relationships" name="Tipos" sheetId="5" state="visible" r:id="rId5"/>
  </sheets>
  <definedNames>
    <definedName name="_xlnm._FilterDatabase" localSheetId="1" hidden="1">'Equipamentos'!$A$3:$J$403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7">
    <font>
      <name val="Calibri"/>
      <family val="2"/>
      <color theme="1"/>
      <sz val="11"/>
      <scheme val="minor"/>
    </font>
    <font>
      <name val="Arial"/>
      <b val="1"/>
      <color rgb="0013254A"/>
      <sz val="18"/>
    </font>
    <font>
      <name val="Arial"/>
      <color rgb="005B6B85"/>
      <sz val="10"/>
    </font>
    <font>
      <name val="Arial"/>
      <b val="1"/>
      <color rgb="00FFFFFF"/>
      <sz val="16"/>
    </font>
    <font>
      <name val="Arial"/>
      <color rgb="0013254A"/>
      <sz val="12"/>
    </font>
    <font>
      <name val="Arial"/>
      <b val="1"/>
      <color rgb="0013254A"/>
      <sz val="11"/>
    </font>
    <font>
      <name val="Arial"/>
      <color rgb="005B6B85"/>
      <sz val="11"/>
    </font>
    <font>
      <name val="Arial"/>
      <b val="1"/>
      <color rgb="0013254A"/>
      <sz val="14"/>
    </font>
    <font>
      <name val="Arial"/>
      <b val="1"/>
      <color rgb="00FFFFFF"/>
    </font>
    <font>
      <name val="Arial"/>
      <sz val="11"/>
    </font>
    <font>
      <name val="Arial"/>
      <sz val="10"/>
    </font>
    <font>
      <name val="Arial"/>
      <i val="1"/>
      <sz val="10"/>
    </font>
    <font>
      <name val="Arial"/>
      <b val="1"/>
      <color rgb="0013254A"/>
      <sz val="16"/>
    </font>
    <font>
      <name val="Arial"/>
      <b val="1"/>
      <color rgb="00FFFFFF"/>
      <sz val="10"/>
    </font>
    <font>
      <name val="Arial"/>
      <i val="1"/>
      <color rgb="005B6B85"/>
      <sz val="10"/>
    </font>
    <font>
      <name val="Arial"/>
      <color rgb="000F1B33"/>
      <sz val="10"/>
    </font>
    <font>
      <name val="Arial"/>
      <color rgb="005B6B85"/>
      <sz val="9"/>
    </font>
  </fonts>
  <fills count="7">
    <fill>
      <patternFill/>
    </fill>
    <fill>
      <patternFill patternType="gray125"/>
    </fill>
    <fill>
      <patternFill patternType="solid">
        <fgColor rgb="00E94D10"/>
      </patternFill>
    </fill>
    <fill>
      <patternFill patternType="solid">
        <fgColor rgb="0013254A"/>
      </patternFill>
    </fill>
    <fill>
      <patternFill patternType="solid">
        <fgColor rgb="00FFF7E0"/>
      </patternFill>
    </fill>
    <fill>
      <patternFill patternType="solid">
        <fgColor rgb="005B6B85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C9D3E3"/>
      </left>
      <right style="thin">
        <color rgb="00C9D3E3"/>
      </right>
      <top style="thin">
        <color rgb="00C9D3E3"/>
      </top>
      <bottom style="thin">
        <color rgb="00C9D3E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12" fillId="0" borderId="0" pivotButton="0" quotePrefix="0" xfId="0"/>
    <xf numFmtId="0" fontId="16" fillId="0" borderId="0" pivotButton="0" quotePrefix="0" xfId="0"/>
    <xf numFmtId="0" fontId="7" fillId="0" borderId="0" pivotButton="0" quotePrefix="0" xfId="0"/>
    <xf numFmtId="0" fontId="13" fillId="2" borderId="1" applyAlignment="1" pivotButton="0" quotePrefix="0" xfId="0">
      <alignment vertical="center" wrapText="1"/>
    </xf>
    <xf numFmtId="0" fontId="13" fillId="3" borderId="1" applyAlignment="1" pivotButton="0" quotePrefix="0" xfId="0">
      <alignment vertical="center" wrapText="1"/>
    </xf>
    <xf numFmtId="0" fontId="13" fillId="5" borderId="1" applyAlignment="1" pivotButton="0" quotePrefix="0" xfId="0">
      <alignment vertical="center" wrapText="1"/>
    </xf>
    <xf numFmtId="0" fontId="14" fillId="4" borderId="1" pivotButton="0" quotePrefix="0" xfId="0"/>
    <xf numFmtId="164" fontId="14" fillId="4" borderId="1" pivotButton="0" quotePrefix="0" xfId="0"/>
    <xf numFmtId="0" fontId="2" fillId="6" borderId="1" applyAlignment="1" pivotButton="0" quotePrefix="0" xfId="0">
      <alignment vertical="top" wrapText="1"/>
    </xf>
    <xf numFmtId="0" fontId="15" fillId="4" borderId="1" pivotButton="0" quotePrefix="0" xfId="0"/>
    <xf numFmtId="164" fontId="15" fillId="4" borderId="1" pivotButton="0" quotePrefix="0" xfId="0"/>
    <xf numFmtId="0" fontId="8" fillId="3" borderId="1" pivotButton="0" quotePrefix="0" xfId="0"/>
    <xf numFmtId="0" fontId="8" fillId="3" borderId="0" pivotButton="0" quotePrefix="0" xfId="0"/>
    <xf numFmtId="0" fontId="9" fillId="4" borderId="1" pivotButton="0" quotePrefix="0" xfId="0"/>
    <xf numFmtId="0" fontId="9" fillId="4" borderId="0" pivotButton="0" quotePrefix="0" xfId="0"/>
    <xf numFmtId="0" fontId="2" fillId="0" borderId="0" applyAlignment="1" pivotButton="0" quotePrefix="0" xfId="0">
      <alignment wrapText="1"/>
    </xf>
    <xf numFmtId="0" fontId="10" fillId="0" borderId="1" pivotButton="0" quotePrefix="0" xfId="0"/>
    <xf numFmtId="0" fontId="10" fillId="4" borderId="1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1F7A45"/>
      </font>
      <fill>
        <patternFill patternType="solid">
          <fgColor rgb="00DDF3E4"/>
        </patternFill>
      </fill>
    </dxf>
    <dxf>
      <font>
        <name val="Arial"/>
        <b val="1"/>
        <color rgb="008A5A00"/>
      </font>
      <fill>
        <patternFill patternType="solid">
          <fgColor rgb="00FFF1C9"/>
        </patternFill>
      </fill>
    </dxf>
    <dxf>
      <font>
        <name val="Arial"/>
        <b val="1"/>
        <color rgb="009F1D12"/>
      </font>
      <fill>
        <patternFill patternType="solid">
          <fgColor rgb="00FDE3DF"/>
        </patternFill>
      </fill>
    </dxf>
    <dxf>
      <font>
        <name val="Arial"/>
        <b val="1"/>
        <color rgb="008A5A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2">
      <c r="B2" s="1" t="inlineStr">
        <is>
          <t>Cadastro de equipamentos — RioMar Recife</t>
        </is>
      </c>
    </row>
    <row r="3">
      <c r="B3" s="2" t="inlineStr">
        <is>
          <t>Plataforma de Manutenção Entre Amigos · planilha simplificada · 23/10/2026</t>
        </is>
      </c>
    </row>
    <row r="5" ht="30" customHeight="1">
      <c r="B5" s="3" t="inlineStr">
        <is>
          <t>1</t>
        </is>
      </c>
      <c r="C5" s="4" t="inlineStr">
        <is>
          <t>Vá na aba Equipamentos. Preencha uma linha por equipamento ou item, a partir da linha 6.</t>
        </is>
      </c>
    </row>
    <row r="7" ht="30" customHeight="1">
      <c r="B7" s="3" t="inlineStr">
        <is>
          <t>2</t>
        </is>
      </c>
      <c r="C7" s="4" t="inlineStr">
        <is>
          <t>Área e Setor: escolha na lista (ou digite um novo). Ex.: Cozinha › Sobremesa.</t>
        </is>
      </c>
    </row>
    <row r="9" ht="30" customHeight="1">
      <c r="B9" s="3" t="inlineStr">
        <is>
          <t>3</t>
        </is>
      </c>
      <c r="C9" s="4" t="inlineStr">
        <is>
          <t>Equipamento: escreva o nome como a equipe chama. Ex.: Fritadeira 01, Câmara de congelados, Cadeira, Tela KDS.</t>
        </is>
      </c>
    </row>
    <row r="11" ht="30" customHeight="1">
      <c r="B11" s="3" t="inlineStr">
        <is>
          <t>4</t>
        </is>
      </c>
      <c r="C11" s="4" t="inlineStr">
        <is>
          <t>Qtd: só se tiver vários iguais no mesmo setor (ex.: 12 cadeiras). O sistema cria Cadeira 01, 02… sozinho.</t>
        </is>
      </c>
    </row>
    <row r="13" ht="30" customHeight="1">
      <c r="B13" s="3" t="inlineStr">
        <is>
          <t>5</t>
        </is>
      </c>
      <c r="C13" s="4" t="inlineStr">
        <is>
          <t>Pronto. As colunas cinza mostram o que o sistema entendeu. Se aparecer "Confira", tudo bem: você escolhe o tipo na hora de importar.</t>
        </is>
      </c>
    </row>
    <row r="16" ht="32" customHeight="1">
      <c r="B16" s="5" t="inlineStr">
        <is>
          <t>Opcional</t>
        </is>
      </c>
      <c r="C16" s="6" t="inlineStr">
        <is>
          <t>Última preventiva grande: se souber, a data da última limpeza de duto, recarga de extintor, manutenção da câmara etc. O sistema calcula a próxima. Em branco, a preventiva entra já no primeiro mês.</t>
        </is>
      </c>
    </row>
    <row r="17" ht="32" customHeight="1">
      <c r="C17" s="6" t="inlineStr">
        <is>
          <t>Temperaturas, tensão, fabricante e nº de série NÃO precisam ser preenchidos aqui. As faixas de temperatura têm um padrão na importação (congelados e resfriados) e podem ser ajustadas depois na ficha de cada equipamento.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3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24" customWidth="1" min="2" max="2"/>
    <col width="34" customWidth="1" min="3" max="3"/>
    <col width="7" customWidth="1" min="4" max="4"/>
    <col width="14" customWidth="1" min="5" max="5"/>
    <col width="28" customWidth="1" min="6" max="6"/>
    <col width="30" customWidth="1" min="7" max="7"/>
    <col width="22" customWidth="1" min="8" max="8"/>
    <col width="30" customWidth="1" min="9" max="9"/>
    <col width="24" customWidth="1" min="10" max="10"/>
  </cols>
  <sheetData>
    <row r="1">
      <c r="A1" s="7" t="inlineStr">
        <is>
          <t>Equipamentos — RioMar Recife</t>
        </is>
      </c>
      <c r="G1" s="8" t="inlineStr">
        <is>
          <t>Preenchidas</t>
        </is>
      </c>
      <c r="H1" s="8" t="inlineStr">
        <is>
          <t>OK</t>
        </is>
      </c>
      <c r="I1" s="8" t="inlineStr">
        <is>
          <t>Conferir tipo</t>
        </is>
      </c>
    </row>
    <row r="2">
      <c r="A2" s="2" t="inlineStr">
        <is>
          <t>Preencha a partir da linha 6 (linhas 4 e 5 são exemplos). Laranja = preencher · Azul = opcional · Cinza = o sistema preenche.</t>
        </is>
      </c>
      <c r="G2" s="9">
        <f>COUNTA(C6:C403)</f>
        <v/>
      </c>
      <c r="H2" s="9">
        <f>COUNTIF(J6:J403,"OK")</f>
        <v/>
      </c>
      <c r="I2" s="9">
        <f>COUNTIF(J6:J403,"Confira*")</f>
        <v/>
      </c>
    </row>
    <row r="3" ht="34" customHeight="1">
      <c r="A3" s="10" t="inlineStr">
        <is>
          <t>Área</t>
        </is>
      </c>
      <c r="B3" s="10" t="inlineStr">
        <is>
          <t>Setor</t>
        </is>
      </c>
      <c r="C3" s="10" t="inlineStr">
        <is>
          <t>Equipamento / item</t>
        </is>
      </c>
      <c r="D3" s="11" t="inlineStr">
        <is>
          <t>Qtd</t>
        </is>
      </c>
      <c r="E3" s="11" t="inlineStr">
        <is>
          <t>Última preventiva grande</t>
        </is>
      </c>
      <c r="F3" s="11" t="inlineStr">
        <is>
          <t>Observação</t>
        </is>
      </c>
      <c r="G3" s="12" t="inlineStr">
        <is>
          <t>O sistema vai entender como</t>
        </is>
      </c>
      <c r="H3" s="12" t="inlineStr">
        <is>
          <t>Categoria no chamado</t>
        </is>
      </c>
      <c r="I3" s="12" t="inlineStr">
        <is>
          <t>Preventivas</t>
        </is>
      </c>
      <c r="J3" s="12" t="inlineStr">
        <is>
          <t>Conferência</t>
        </is>
      </c>
    </row>
    <row r="4">
      <c r="A4" s="13" t="inlineStr">
        <is>
          <t>Cozinha</t>
        </is>
      </c>
      <c r="B4" s="13" t="inlineStr">
        <is>
          <t>Sobremesa</t>
        </is>
      </c>
      <c r="C4" s="13" t="inlineStr">
        <is>
          <t>Micro-ondas</t>
        </is>
      </c>
      <c r="D4" s="13" t="n"/>
      <c r="E4" s="14" t="n"/>
      <c r="F4" s="13" t="inlineStr">
        <is>
          <t>Exemplo: item só para chamados</t>
        </is>
      </c>
      <c r="G4" s="15">
        <f>IF($C4="","",IFERROR(LOOKUP(2,1/((Reconhecimento!$A$5:$A$310&lt;&gt;"")*ISNUMBER(SEARCH(" "&amp;Reconhecimento!$A$5:$A$310," "&amp;$C4))),Reconhecimento!$B$5:$B$310),"Confira: escolha na importação"))</f>
        <v/>
      </c>
      <c r="H4" s="15">
        <f>IF($C4="","",IFERROR(LOOKUP(2,1/((Reconhecimento!$A$5:$A$310&lt;&gt;"")*ISNUMBER(SEARCH(" "&amp;Reconhecimento!$A$5:$A$310," "&amp;$C4))),Reconhecimento!$C$5:$C$310),"—"))</f>
        <v/>
      </c>
      <c r="I4" s="15">
        <f>IF($C4="","",IFERROR(VLOOKUP($G4,Tipos!$A$5:$B$51,2,FALSE),"—"))</f>
        <v/>
      </c>
      <c r="J4" s="15">
        <f>IF(COUNTA($A4:$C4)=0,"",IF($A4="","Falta a Área",IF($B4="","Falta o Setor",IF($C4="","Falta o nome",IF(COUNTIF($C$6:$C$403,$C4)&gt;1,"Nome repetido: use 01, 02… ou a Qtd",IF(LEFT($G4,7)="Confira","Confira o tipo na importação","OK"))))))</f>
        <v/>
      </c>
    </row>
    <row r="5">
      <c r="A5" s="13" t="inlineStr">
        <is>
          <t>Estoque</t>
        </is>
      </c>
      <c r="B5" s="13" t="inlineStr">
        <is>
          <t>Câmaras frias</t>
        </is>
      </c>
      <c r="C5" s="13" t="inlineStr">
        <is>
          <t>Câmara de congelados</t>
        </is>
      </c>
      <c r="D5" s="13" t="n"/>
      <c r="E5" s="14" t="n"/>
      <c r="F5" s="13" t="inlineStr">
        <is>
          <t>Exemplo: com preventiva</t>
        </is>
      </c>
      <c r="G5" s="15">
        <f>IF($C5="","",IFERROR(LOOKUP(2,1/((Reconhecimento!$A$5:$A$310&lt;&gt;"")*ISNUMBER(SEARCH(" "&amp;Reconhecimento!$A$5:$A$310," "&amp;$C5))),Reconhecimento!$B$5:$B$310),"Confira: escolha na importação"))</f>
        <v/>
      </c>
      <c r="H5" s="15">
        <f>IF($C5="","",IFERROR(LOOKUP(2,1/((Reconhecimento!$A$5:$A$310&lt;&gt;"")*ISNUMBER(SEARCH(" "&amp;Reconhecimento!$A$5:$A$310," "&amp;$C5))),Reconhecimento!$C$5:$C$310),"—"))</f>
        <v/>
      </c>
      <c r="I5" s="15">
        <f>IF($C5="","",IFERROR(VLOOKUP($G5,Tipos!$A$5:$B$51,2,FALSE),"—"))</f>
        <v/>
      </c>
      <c r="J5" s="15">
        <f>IF(COUNTA($A5:$C5)=0,"",IF($A5="","Falta a Área",IF($B5="","Falta o Setor",IF($C5="","Falta o nome",IF(COUNTIF($C$6:$C$403,$C5)&gt;1,"Nome repetido: use 01, 02… ou a Qtd",IF(LEFT($G5,7)="Confira","Confira o tipo na importação","OK"))))))</f>
        <v/>
      </c>
    </row>
    <row r="6">
      <c r="A6" s="16" t="inlineStr">
        <is>
          <t>Cozinha</t>
        </is>
      </c>
      <c r="B6" s="16" t="inlineStr">
        <is>
          <t>Cozinha quente</t>
        </is>
      </c>
      <c r="C6" s="16" t="inlineStr">
        <is>
          <t>Fritadeira a gás 01</t>
        </is>
      </c>
      <c r="D6" s="16" t="n"/>
      <c r="E6" s="17" t="n"/>
      <c r="F6" s="16" t="inlineStr">
        <is>
          <t>Vulcan</t>
        </is>
      </c>
      <c r="G6" s="15">
        <f>IF($C6="","",IFERROR(LOOKUP(2,1/((Reconhecimento!$A$5:$A$310&lt;&gt;"")*ISNUMBER(SEARCH(" "&amp;Reconhecimento!$A$5:$A$310," "&amp;$C6))),Reconhecimento!$B$5:$B$310),"Confira: escolha na importação"))</f>
        <v/>
      </c>
      <c r="H6" s="15">
        <f>IF($C6="","",IFERROR(LOOKUP(2,1/((Reconhecimento!$A$5:$A$310&lt;&gt;"")*ISNUMBER(SEARCH(" "&amp;Reconhecimento!$A$5:$A$310," "&amp;$C6))),Reconhecimento!$C$5:$C$310),"—"))</f>
        <v/>
      </c>
      <c r="I6" s="15">
        <f>IF($C6="","",IFERROR(VLOOKUP($G6,Tipos!$A$5:$B$51,2,FALSE),"—"))</f>
        <v/>
      </c>
      <c r="J6" s="15">
        <f>IF(COUNTA($A6:$C6)=0,"",IF($A6="","Falta a Área",IF($B6="","Falta o Setor",IF($C6="","Falta o nome",IF(COUNTIF($C$6:$C$403,$C6)&gt;1,"Nome repetido: use 01, 02… ou a Qtd",IF(LEFT($G6,7)="Confira","Confira o tipo na importação","OK"))))))</f>
        <v/>
      </c>
    </row>
    <row r="7">
      <c r="A7" s="16" t="inlineStr">
        <is>
          <t>Estoque</t>
        </is>
      </c>
      <c r="B7" s="16" t="inlineStr">
        <is>
          <t>Câmaras frias</t>
        </is>
      </c>
      <c r="C7" s="16" t="inlineStr">
        <is>
          <t>Câmara de congelados 01</t>
        </is>
      </c>
      <c r="D7" s="16" t="n"/>
      <c r="E7" s="17" t="n"/>
      <c r="F7" s="16" t="n"/>
      <c r="G7" s="15">
        <f>IF($C7="","",IFERROR(LOOKUP(2,1/((Reconhecimento!$A$5:$A$310&lt;&gt;"")*ISNUMBER(SEARCH(" "&amp;Reconhecimento!$A$5:$A$310," "&amp;$C7))),Reconhecimento!$B$5:$B$310),"Confira: escolha na importação"))</f>
        <v/>
      </c>
      <c r="H7" s="15">
        <f>IF($C7="","",IFERROR(LOOKUP(2,1/((Reconhecimento!$A$5:$A$310&lt;&gt;"")*ISNUMBER(SEARCH(" "&amp;Reconhecimento!$A$5:$A$310," "&amp;$C7))),Reconhecimento!$C$5:$C$310),"—"))</f>
        <v/>
      </c>
      <c r="I7" s="15">
        <f>IF($C7="","",IFERROR(VLOOKUP($G7,Tipos!$A$5:$B$51,2,FALSE),"—"))</f>
        <v/>
      </c>
      <c r="J7" s="15">
        <f>IF(COUNTA($A7:$C7)=0,"",IF($A7="","Falta a Área",IF($B7="","Falta o Setor",IF($C7="","Falta o nome",IF(COUNTIF($C$6:$C$403,$C7)&gt;1,"Nome repetido: use 01, 02… ou a Qtd",IF(LEFT($G7,7)="Confira","Confira o tipo na importação","OK"))))))</f>
        <v/>
      </c>
    </row>
    <row r="8">
      <c r="A8" s="16" t="inlineStr">
        <is>
          <t>Cozinha</t>
        </is>
      </c>
      <c r="B8" s="16" t="inlineStr">
        <is>
          <t>Cozinha quente</t>
        </is>
      </c>
      <c r="C8" s="16" t="inlineStr">
        <is>
          <t>Coifa convencional 01</t>
        </is>
      </c>
      <c r="D8" s="16" t="n"/>
      <c r="E8" s="17" t="n">
        <v>46188</v>
      </c>
      <c r="F8" s="16" t="n"/>
      <c r="G8" s="15">
        <f>IF($C8="","",IFERROR(LOOKUP(2,1/((Reconhecimento!$A$5:$A$310&lt;&gt;"")*ISNUMBER(SEARCH(" "&amp;Reconhecimento!$A$5:$A$310," "&amp;$C8))),Reconhecimento!$B$5:$B$310),"Confira: escolha na importação"))</f>
        <v/>
      </c>
      <c r="H8" s="15">
        <f>IF($C8="","",IFERROR(LOOKUP(2,1/((Reconhecimento!$A$5:$A$310&lt;&gt;"")*ISNUMBER(SEARCH(" "&amp;Reconhecimento!$A$5:$A$310," "&amp;$C8))),Reconhecimento!$C$5:$C$310),"—"))</f>
        <v/>
      </c>
      <c r="I8" s="15">
        <f>IF($C8="","",IFERROR(VLOOKUP($G8,Tipos!$A$5:$B$51,2,FALSE),"—"))</f>
        <v/>
      </c>
      <c r="J8" s="15">
        <f>IF(COUNTA($A8:$C8)=0,"",IF($A8="","Falta a Área",IF($B8="","Falta o Setor",IF($C8="","Falta o nome",IF(COUNTIF($C$6:$C$403,$C8)&gt;1,"Nome repetido: use 01, 02… ou a Qtd",IF(LEFT($G8,7)="Confira","Confira o tipo na importação","OK"))))))</f>
        <v/>
      </c>
    </row>
    <row r="9">
      <c r="A9" s="16" t="inlineStr">
        <is>
          <t>Cozinha</t>
        </is>
      </c>
      <c r="B9" s="16" t="inlineStr">
        <is>
          <t>Sobremesa</t>
        </is>
      </c>
      <c r="C9" s="16" t="inlineStr">
        <is>
          <t>Micro-ondas</t>
        </is>
      </c>
      <c r="D9" s="16" t="n"/>
      <c r="E9" s="17" t="n"/>
      <c r="F9" s="16" t="n"/>
      <c r="G9" s="15">
        <f>IF($C9="","",IFERROR(LOOKUP(2,1/((Reconhecimento!$A$5:$A$310&lt;&gt;"")*ISNUMBER(SEARCH(" "&amp;Reconhecimento!$A$5:$A$310," "&amp;$C9))),Reconhecimento!$B$5:$B$310),"Confira: escolha na importação"))</f>
        <v/>
      </c>
      <c r="H9" s="15">
        <f>IF($C9="","",IFERROR(LOOKUP(2,1/((Reconhecimento!$A$5:$A$310&lt;&gt;"")*ISNUMBER(SEARCH(" "&amp;Reconhecimento!$A$5:$A$310," "&amp;$C9))),Reconhecimento!$C$5:$C$310),"—"))</f>
        <v/>
      </c>
      <c r="I9" s="15">
        <f>IF($C9="","",IFERROR(VLOOKUP($G9,Tipos!$A$5:$B$51,2,FALSE),"—"))</f>
        <v/>
      </c>
      <c r="J9" s="15">
        <f>IF(COUNTA($A9:$C9)=0,"",IF($A9="","Falta a Área",IF($B9="","Falta o Setor",IF($C9="","Falta o nome",IF(COUNTIF($C$6:$C$403,$C9)&gt;1,"Nome repetido: use 01, 02… ou a Qtd",IF(LEFT($G9,7)="Confira","Confira o tipo na importação","OK"))))))</f>
        <v/>
      </c>
    </row>
    <row r="10">
      <c r="A10" s="16" t="inlineStr">
        <is>
          <t>Salão</t>
        </is>
      </c>
      <c r="B10" s="16" t="inlineStr">
        <is>
          <t>Salão frente do bar</t>
        </is>
      </c>
      <c r="C10" s="16" t="inlineStr">
        <is>
          <t>Aparador</t>
        </is>
      </c>
      <c r="D10" s="16" t="n"/>
      <c r="E10" s="17" t="n"/>
      <c r="F10" s="16" t="n"/>
      <c r="G10" s="15">
        <f>IF($C10="","",IFERROR(LOOKUP(2,1/((Reconhecimento!$A$5:$A$310&lt;&gt;"")*ISNUMBER(SEARCH(" "&amp;Reconhecimento!$A$5:$A$310," "&amp;$C10))),Reconhecimento!$B$5:$B$310),"Confira: escolha na importação"))</f>
        <v/>
      </c>
      <c r="H10" s="15">
        <f>IF($C10="","",IFERROR(LOOKUP(2,1/((Reconhecimento!$A$5:$A$310&lt;&gt;"")*ISNUMBER(SEARCH(" "&amp;Reconhecimento!$A$5:$A$310," "&amp;$C10))),Reconhecimento!$C$5:$C$310),"—"))</f>
        <v/>
      </c>
      <c r="I10" s="15">
        <f>IF($C10="","",IFERROR(VLOOKUP($G10,Tipos!$A$5:$B$51,2,FALSE),"—"))</f>
        <v/>
      </c>
      <c r="J10" s="15">
        <f>IF(COUNTA($A10:$C10)=0,"",IF($A10="","Falta a Área",IF($B10="","Falta o Setor",IF($C10="","Falta o nome",IF(COUNTIF($C$6:$C$403,$C10)&gt;1,"Nome repetido: use 01, 02… ou a Qtd",IF(LEFT($G10,7)="Confira","Confira o tipo na importação","OK"))))))</f>
        <v/>
      </c>
    </row>
    <row r="11">
      <c r="A11" s="16" t="inlineStr">
        <is>
          <t>Cozinha</t>
        </is>
      </c>
      <c r="B11" s="16" t="inlineStr">
        <is>
          <t>Cozinha quente</t>
        </is>
      </c>
      <c r="C11" s="16" t="inlineStr">
        <is>
          <t>Extintor PQS 01</t>
        </is>
      </c>
      <c r="D11" s="16" t="n"/>
      <c r="E11" s="17" t="inlineStr">
        <is>
          <t>01/09/2025</t>
        </is>
      </c>
      <c r="F11" s="16" t="n"/>
      <c r="G11" s="15">
        <f>IF($C11="","",IFERROR(LOOKUP(2,1/((Reconhecimento!$A$5:$A$310&lt;&gt;"")*ISNUMBER(SEARCH(" "&amp;Reconhecimento!$A$5:$A$310," "&amp;$C11))),Reconhecimento!$B$5:$B$310),"Confira: escolha na importação"))</f>
        <v/>
      </c>
      <c r="H11" s="15">
        <f>IF($C11="","",IFERROR(LOOKUP(2,1/((Reconhecimento!$A$5:$A$310&lt;&gt;"")*ISNUMBER(SEARCH(" "&amp;Reconhecimento!$A$5:$A$310," "&amp;$C11))),Reconhecimento!$C$5:$C$310),"—"))</f>
        <v/>
      </c>
      <c r="I11" s="15">
        <f>IF($C11="","",IFERROR(VLOOKUP($G11,Tipos!$A$5:$B$51,2,FALSE),"—"))</f>
        <v/>
      </c>
      <c r="J11" s="15">
        <f>IF(COUNTA($A11:$C11)=0,"",IF($A11="","Falta a Área",IF($B11="","Falta o Setor",IF($C11="","Falta o nome",IF(COUNTIF($C$6:$C$403,$C11)&gt;1,"Nome repetido: use 01, 02… ou a Qtd",IF(LEFT($G11,7)="Confira","Confira o tipo na importação","OK"))))))</f>
        <v/>
      </c>
    </row>
    <row r="12">
      <c r="A12" s="16" t="inlineStr">
        <is>
          <t>Salão</t>
        </is>
      </c>
      <c r="B12" s="16" t="inlineStr">
        <is>
          <t>Salão principal</t>
        </is>
      </c>
      <c r="C12" s="16" t="inlineStr">
        <is>
          <t>Ar-condicionado salão 2</t>
        </is>
      </c>
      <c r="D12" s="16" t="n"/>
      <c r="E12" s="17" t="n"/>
      <c r="F12" s="16" t="n"/>
      <c r="G12" s="15">
        <f>IF($C12="","",IFERROR(LOOKUP(2,1/((Reconhecimento!$A$5:$A$310&lt;&gt;"")*ISNUMBER(SEARCH(" "&amp;Reconhecimento!$A$5:$A$310," "&amp;$C12))),Reconhecimento!$B$5:$B$310),"Confira: escolha na importação"))</f>
        <v/>
      </c>
      <c r="H12" s="15">
        <f>IF($C12="","",IFERROR(LOOKUP(2,1/((Reconhecimento!$A$5:$A$310&lt;&gt;"")*ISNUMBER(SEARCH(" "&amp;Reconhecimento!$A$5:$A$310," "&amp;$C12))),Reconhecimento!$C$5:$C$310),"—"))</f>
        <v/>
      </c>
      <c r="I12" s="15">
        <f>IF($C12="","",IFERROR(VLOOKUP($G12,Tipos!$A$5:$B$51,2,FALSE),"—"))</f>
        <v/>
      </c>
      <c r="J12" s="15">
        <f>IF(COUNTA($A12:$C12)=0,"",IF($A12="","Falta a Área",IF($B12="","Falta o Setor",IF($C12="","Falta o nome",IF(COUNTIF($C$6:$C$403,$C12)&gt;1,"Nome repetido: use 01, 02… ou a Qtd",IF(LEFT($G12,7)="Confira","Confira o tipo na importação","OK"))))))</f>
        <v/>
      </c>
    </row>
    <row r="13">
      <c r="A13" s="16" t="inlineStr">
        <is>
          <t>Área técnica</t>
        </is>
      </c>
      <c r="B13" s="16" t="inlineStr">
        <is>
          <t>Casa de máquinas</t>
        </is>
      </c>
      <c r="C13" s="16" t="inlineStr">
        <is>
          <t>Detecção de gás</t>
        </is>
      </c>
      <c r="D13" s="16" t="n"/>
      <c r="E13" s="17" t="n"/>
      <c r="F13" s="16" t="n"/>
      <c r="G13" s="15">
        <f>IF($C13="","",IFERROR(LOOKUP(2,1/((Reconhecimento!$A$5:$A$310&lt;&gt;"")*ISNUMBER(SEARCH(" "&amp;Reconhecimento!$A$5:$A$310," "&amp;$C13))),Reconhecimento!$B$5:$B$310),"Confira: escolha na importação"))</f>
        <v/>
      </c>
      <c r="H13" s="15">
        <f>IF($C13="","",IFERROR(LOOKUP(2,1/((Reconhecimento!$A$5:$A$310&lt;&gt;"")*ISNUMBER(SEARCH(" "&amp;Reconhecimento!$A$5:$A$310," "&amp;$C13))),Reconhecimento!$C$5:$C$310),"—"))</f>
        <v/>
      </c>
      <c r="I13" s="15">
        <f>IF($C13="","",IFERROR(VLOOKUP($G13,Tipos!$A$5:$B$51,2,FALSE),"—"))</f>
        <v/>
      </c>
      <c r="J13" s="15">
        <f>IF(COUNTA($A13:$C13)=0,"",IF($A13="","Falta a Área",IF($B13="","Falta o Setor",IF($C13="","Falta o nome",IF(COUNTIF($C$6:$C$403,$C13)&gt;1,"Nome repetido: use 01, 02… ou a Qtd",IF(LEFT($G13,7)="Confira","Confira o tipo na importação","OK"))))))</f>
        <v/>
      </c>
    </row>
    <row r="14">
      <c r="A14" s="16" t="inlineStr">
        <is>
          <t>Salão</t>
        </is>
      </c>
      <c r="B14" s="16" t="inlineStr">
        <is>
          <t>Salão principal</t>
        </is>
      </c>
      <c r="C14" s="16" t="inlineStr">
        <is>
          <t>Cadeiras</t>
        </is>
      </c>
      <c r="D14" s="16" t="n"/>
      <c r="E14" s="17" t="n"/>
      <c r="F14" s="16" t="n"/>
      <c r="G14" s="15">
        <f>IF($C14="","",IFERROR(LOOKUP(2,1/((Reconhecimento!$A$5:$A$310&lt;&gt;"")*ISNUMBER(SEARCH(" "&amp;Reconhecimento!$A$5:$A$310," "&amp;$C14))),Reconhecimento!$B$5:$B$310),"Confira: escolha na importação"))</f>
        <v/>
      </c>
      <c r="H14" s="15">
        <f>IF($C14="","",IFERROR(LOOKUP(2,1/((Reconhecimento!$A$5:$A$310&lt;&gt;"")*ISNUMBER(SEARCH(" "&amp;Reconhecimento!$A$5:$A$310," "&amp;$C14))),Reconhecimento!$C$5:$C$310),"—"))</f>
        <v/>
      </c>
      <c r="I14" s="15">
        <f>IF($C14="","",IFERROR(VLOOKUP($G14,Tipos!$A$5:$B$51,2,FALSE),"—"))</f>
        <v/>
      </c>
      <c r="J14" s="15">
        <f>IF(COUNTA($A14:$C14)=0,"",IF($A14="","Falta a Área",IF($B14="","Falta o Setor",IF($C14="","Falta o nome",IF(COUNTIF($C$6:$C$403,$C14)&gt;1,"Nome repetido: use 01, 02… ou a Qtd",IF(LEFT($G14,7)="Confira","Confira o tipo na importação","OK"))))))</f>
        <v/>
      </c>
    </row>
    <row r="15">
      <c r="A15" s="16" t="inlineStr">
        <is>
          <t>Bar</t>
        </is>
      </c>
      <c r="B15" s="16" t="inlineStr">
        <is>
          <t>Balcão do bar</t>
        </is>
      </c>
      <c r="C15" s="16" t="inlineStr">
        <is>
          <t>Banqueta</t>
        </is>
      </c>
      <c r="D15" s="16" t="n">
        <v>3</v>
      </c>
      <c r="E15" s="17" t="n"/>
      <c r="F15" s="16" t="n"/>
      <c r="G15" s="15">
        <f>IF($C15="","",IFERROR(LOOKUP(2,1/((Reconhecimento!$A$5:$A$310&lt;&gt;"")*ISNUMBER(SEARCH(" "&amp;Reconhecimento!$A$5:$A$310," "&amp;$C15))),Reconhecimento!$B$5:$B$310),"Confira: escolha na importação"))</f>
        <v/>
      </c>
      <c r="H15" s="15">
        <f>IF($C15="","",IFERROR(LOOKUP(2,1/((Reconhecimento!$A$5:$A$310&lt;&gt;"")*ISNUMBER(SEARCH(" "&amp;Reconhecimento!$A$5:$A$310," "&amp;$C15))),Reconhecimento!$C$5:$C$310),"—"))</f>
        <v/>
      </c>
      <c r="I15" s="15">
        <f>IF($C15="","",IFERROR(VLOOKUP($G15,Tipos!$A$5:$B$51,2,FALSE),"—"))</f>
        <v/>
      </c>
      <c r="J15" s="15">
        <f>IF(COUNTA($A15:$C15)=0,"",IF($A15="","Falta a Área",IF($B15="","Falta o Setor",IF($C15="","Falta o nome",IF(COUNTIF($C$6:$C$403,$C15)&gt;1,"Nome repetido: use 01, 02… ou a Qtd",IF(LEFT($G15,7)="Confira","Confira o tipo na importação","OK"))))))</f>
        <v/>
      </c>
    </row>
    <row r="16">
      <c r="A16" s="16" t="inlineStr">
        <is>
          <t>Cozinha</t>
        </is>
      </c>
      <c r="B16" s="16" t="inlineStr">
        <is>
          <t>Sobremesa</t>
        </is>
      </c>
      <c r="C16" s="16" t="inlineStr">
        <is>
          <t>Máquina de algodão doce</t>
        </is>
      </c>
      <c r="D16" s="16" t="n"/>
      <c r="E16" s="17" t="n"/>
      <c r="F16" s="16" t="n"/>
      <c r="G16" s="15">
        <f>IF($C16="","",IFERROR(LOOKUP(2,1/((Reconhecimento!$A$5:$A$310&lt;&gt;"")*ISNUMBER(SEARCH(" "&amp;Reconhecimento!$A$5:$A$310," "&amp;$C16))),Reconhecimento!$B$5:$B$310),"Confira: escolha na importação"))</f>
        <v/>
      </c>
      <c r="H16" s="15">
        <f>IF($C16="","",IFERROR(LOOKUP(2,1/((Reconhecimento!$A$5:$A$310&lt;&gt;"")*ISNUMBER(SEARCH(" "&amp;Reconhecimento!$A$5:$A$310," "&amp;$C16))),Reconhecimento!$C$5:$C$310),"—"))</f>
        <v/>
      </c>
      <c r="I16" s="15">
        <f>IF($C16="","",IFERROR(VLOOKUP($G16,Tipos!$A$5:$B$51,2,FALSE),"—"))</f>
        <v/>
      </c>
      <c r="J16" s="15">
        <f>IF(COUNTA($A16:$C16)=0,"",IF($A16="","Falta a Área",IF($B16="","Falta o Setor",IF($C16="","Falta o nome",IF(COUNTIF($C$6:$C$403,$C16)&gt;1,"Nome repetido: use 01, 02… ou a Qtd",IF(LEFT($G16,7)="Confira","Confira o tipo na importação","OK"))))))</f>
        <v/>
      </c>
    </row>
    <row r="17">
      <c r="A17" s="16" t="n"/>
      <c r="B17" s="16" t="n"/>
      <c r="C17" s="16" t="n"/>
      <c r="D17" s="16" t="n"/>
      <c r="E17" s="17" t="n"/>
      <c r="F17" s="16" t="n"/>
      <c r="G17" s="15">
        <f>IF($C17="","",IFERROR(LOOKUP(2,1/((Reconhecimento!$A$5:$A$310&lt;&gt;"")*ISNUMBER(SEARCH(" "&amp;Reconhecimento!$A$5:$A$310," "&amp;$C17))),Reconhecimento!$B$5:$B$310),"Confira: escolha na importação"))</f>
        <v/>
      </c>
      <c r="H17" s="15">
        <f>IF($C17="","",IFERROR(LOOKUP(2,1/((Reconhecimento!$A$5:$A$310&lt;&gt;"")*ISNUMBER(SEARCH(" "&amp;Reconhecimento!$A$5:$A$310," "&amp;$C17))),Reconhecimento!$C$5:$C$310),"—"))</f>
        <v/>
      </c>
      <c r="I17" s="15">
        <f>IF($C17="","",IFERROR(VLOOKUP($G17,Tipos!$A$5:$B$51,2,FALSE),"—"))</f>
        <v/>
      </c>
      <c r="J17" s="15">
        <f>IF(COUNTA($A17:$C17)=0,"",IF($A17="","Falta a Área",IF($B17="","Falta o Setor",IF($C17="","Falta o nome",IF(COUNTIF($C$6:$C$403,$C17)&gt;1,"Nome repetido: use 01, 02… ou a Qtd",IF(LEFT($G17,7)="Confira","Confira o tipo na importação","OK"))))))</f>
        <v/>
      </c>
    </row>
    <row r="18">
      <c r="A18" s="16" t="n"/>
      <c r="B18" s="16" t="n"/>
      <c r="C18" s="16" t="n"/>
      <c r="D18" s="16" t="n"/>
      <c r="E18" s="17" t="n"/>
      <c r="F18" s="16" t="n"/>
      <c r="G18" s="15">
        <f>IF($C18="","",IFERROR(LOOKUP(2,1/((Reconhecimento!$A$5:$A$310&lt;&gt;"")*ISNUMBER(SEARCH(" "&amp;Reconhecimento!$A$5:$A$310," "&amp;$C18))),Reconhecimento!$B$5:$B$310),"Confira: escolha na importação"))</f>
        <v/>
      </c>
      <c r="H18" s="15">
        <f>IF($C18="","",IFERROR(LOOKUP(2,1/((Reconhecimento!$A$5:$A$310&lt;&gt;"")*ISNUMBER(SEARCH(" "&amp;Reconhecimento!$A$5:$A$310," "&amp;$C18))),Reconhecimento!$C$5:$C$310),"—"))</f>
        <v/>
      </c>
      <c r="I18" s="15">
        <f>IF($C18="","",IFERROR(VLOOKUP($G18,Tipos!$A$5:$B$51,2,FALSE),"—"))</f>
        <v/>
      </c>
      <c r="J18" s="15">
        <f>IF(COUNTA($A18:$C18)=0,"",IF($A18="","Falta a Área",IF($B18="","Falta o Setor",IF($C18="","Falta o nome",IF(COUNTIF($C$6:$C$403,$C18)&gt;1,"Nome repetido: use 01, 02… ou a Qtd",IF(LEFT($G18,7)="Confira","Confira o tipo na importação","OK"))))))</f>
        <v/>
      </c>
    </row>
    <row r="19">
      <c r="A19" s="16" t="n"/>
      <c r="B19" s="16" t="n"/>
      <c r="C19" s="16" t="n"/>
      <c r="D19" s="16" t="n"/>
      <c r="E19" s="17" t="n"/>
      <c r="F19" s="16" t="n"/>
      <c r="G19" s="15">
        <f>IF($C19="","",IFERROR(LOOKUP(2,1/((Reconhecimento!$A$5:$A$310&lt;&gt;"")*ISNUMBER(SEARCH(" "&amp;Reconhecimento!$A$5:$A$310," "&amp;$C19))),Reconhecimento!$B$5:$B$310),"Confira: escolha na importação"))</f>
        <v/>
      </c>
      <c r="H19" s="15">
        <f>IF($C19="","",IFERROR(LOOKUP(2,1/((Reconhecimento!$A$5:$A$310&lt;&gt;"")*ISNUMBER(SEARCH(" "&amp;Reconhecimento!$A$5:$A$310," "&amp;$C19))),Reconhecimento!$C$5:$C$310),"—"))</f>
        <v/>
      </c>
      <c r="I19" s="15">
        <f>IF($C19="","",IFERROR(VLOOKUP($G19,Tipos!$A$5:$B$51,2,FALSE),"—"))</f>
        <v/>
      </c>
      <c r="J19" s="15">
        <f>IF(COUNTA($A19:$C19)=0,"",IF($A19="","Falta a Área",IF($B19="","Falta o Setor",IF($C19="","Falta o nome",IF(COUNTIF($C$6:$C$403,$C19)&gt;1,"Nome repetido: use 01, 02… ou a Qtd",IF(LEFT($G19,7)="Confira","Confira o tipo na importação","OK"))))))</f>
        <v/>
      </c>
    </row>
    <row r="20">
      <c r="A20" s="16" t="n"/>
      <c r="B20" s="16" t="n"/>
      <c r="C20" s="16" t="n"/>
      <c r="D20" s="16" t="n"/>
      <c r="E20" s="17" t="n"/>
      <c r="F20" s="16" t="n"/>
      <c r="G20" s="15">
        <f>IF($C20="","",IFERROR(LOOKUP(2,1/((Reconhecimento!$A$5:$A$310&lt;&gt;"")*ISNUMBER(SEARCH(" "&amp;Reconhecimento!$A$5:$A$310," "&amp;$C20))),Reconhecimento!$B$5:$B$310),"Confira: escolha na importação"))</f>
        <v/>
      </c>
      <c r="H20" s="15">
        <f>IF($C20="","",IFERROR(LOOKUP(2,1/((Reconhecimento!$A$5:$A$310&lt;&gt;"")*ISNUMBER(SEARCH(" "&amp;Reconhecimento!$A$5:$A$310," "&amp;$C20))),Reconhecimento!$C$5:$C$310),"—"))</f>
        <v/>
      </c>
      <c r="I20" s="15">
        <f>IF($C20="","",IFERROR(VLOOKUP($G20,Tipos!$A$5:$B$51,2,FALSE),"—"))</f>
        <v/>
      </c>
      <c r="J20" s="15">
        <f>IF(COUNTA($A20:$C20)=0,"",IF($A20="","Falta a Área",IF($B20="","Falta o Setor",IF($C20="","Falta o nome",IF(COUNTIF($C$6:$C$403,$C20)&gt;1,"Nome repetido: use 01, 02… ou a Qtd",IF(LEFT($G20,7)="Confira","Confira o tipo na importação","OK"))))))</f>
        <v/>
      </c>
    </row>
    <row r="21">
      <c r="A21" s="16" t="n"/>
      <c r="B21" s="16" t="n"/>
      <c r="C21" s="16" t="n"/>
      <c r="D21" s="16" t="n"/>
      <c r="E21" s="17" t="n"/>
      <c r="F21" s="16" t="n"/>
      <c r="G21" s="15">
        <f>IF($C21="","",IFERROR(LOOKUP(2,1/((Reconhecimento!$A$5:$A$310&lt;&gt;"")*ISNUMBER(SEARCH(" "&amp;Reconhecimento!$A$5:$A$310," "&amp;$C21))),Reconhecimento!$B$5:$B$310),"Confira: escolha na importação"))</f>
        <v/>
      </c>
      <c r="H21" s="15">
        <f>IF($C21="","",IFERROR(LOOKUP(2,1/((Reconhecimento!$A$5:$A$310&lt;&gt;"")*ISNUMBER(SEARCH(" "&amp;Reconhecimento!$A$5:$A$310," "&amp;$C21))),Reconhecimento!$C$5:$C$310),"—"))</f>
        <v/>
      </c>
      <c r="I21" s="15">
        <f>IF($C21="","",IFERROR(VLOOKUP($G21,Tipos!$A$5:$B$51,2,FALSE),"—"))</f>
        <v/>
      </c>
      <c r="J21" s="15">
        <f>IF(COUNTA($A21:$C21)=0,"",IF($A21="","Falta a Área",IF($B21="","Falta o Setor",IF($C21="","Falta o nome",IF(COUNTIF($C$6:$C$403,$C21)&gt;1,"Nome repetido: use 01, 02… ou a Qtd",IF(LEFT($G21,7)="Confira","Confira o tipo na importação","OK"))))))</f>
        <v/>
      </c>
    </row>
    <row r="22">
      <c r="A22" s="16" t="n"/>
      <c r="B22" s="16" t="n"/>
      <c r="C22" s="16" t="n"/>
      <c r="D22" s="16" t="n"/>
      <c r="E22" s="17" t="n"/>
      <c r="F22" s="16" t="n"/>
      <c r="G22" s="15">
        <f>IF($C22="","",IFERROR(LOOKUP(2,1/((Reconhecimento!$A$5:$A$310&lt;&gt;"")*ISNUMBER(SEARCH(" "&amp;Reconhecimento!$A$5:$A$310," "&amp;$C22))),Reconhecimento!$B$5:$B$310),"Confira: escolha na importação"))</f>
        <v/>
      </c>
      <c r="H22" s="15">
        <f>IF($C22="","",IFERROR(LOOKUP(2,1/((Reconhecimento!$A$5:$A$310&lt;&gt;"")*ISNUMBER(SEARCH(" "&amp;Reconhecimento!$A$5:$A$310," "&amp;$C22))),Reconhecimento!$C$5:$C$310),"—"))</f>
        <v/>
      </c>
      <c r="I22" s="15">
        <f>IF($C22="","",IFERROR(VLOOKUP($G22,Tipos!$A$5:$B$51,2,FALSE),"—"))</f>
        <v/>
      </c>
      <c r="J22" s="15">
        <f>IF(COUNTA($A22:$C22)=0,"",IF($A22="","Falta a Área",IF($B22="","Falta o Setor",IF($C22="","Falta o nome",IF(COUNTIF($C$6:$C$403,$C22)&gt;1,"Nome repetido: use 01, 02… ou a Qtd",IF(LEFT($G22,7)="Confira","Confira o tipo na importação","OK"))))))</f>
        <v/>
      </c>
    </row>
    <row r="23">
      <c r="A23" s="16" t="n"/>
      <c r="B23" s="16" t="n"/>
      <c r="C23" s="16" t="n"/>
      <c r="D23" s="16" t="n"/>
      <c r="E23" s="17" t="n"/>
      <c r="F23" s="16" t="n"/>
      <c r="G23" s="15">
        <f>IF($C23="","",IFERROR(LOOKUP(2,1/((Reconhecimento!$A$5:$A$310&lt;&gt;"")*ISNUMBER(SEARCH(" "&amp;Reconhecimento!$A$5:$A$310," "&amp;$C23))),Reconhecimento!$B$5:$B$310),"Confira: escolha na importação"))</f>
        <v/>
      </c>
      <c r="H23" s="15">
        <f>IF($C23="","",IFERROR(LOOKUP(2,1/((Reconhecimento!$A$5:$A$310&lt;&gt;"")*ISNUMBER(SEARCH(" "&amp;Reconhecimento!$A$5:$A$310," "&amp;$C23))),Reconhecimento!$C$5:$C$310),"—"))</f>
        <v/>
      </c>
      <c r="I23" s="15">
        <f>IF($C23="","",IFERROR(VLOOKUP($G23,Tipos!$A$5:$B$51,2,FALSE),"—"))</f>
        <v/>
      </c>
      <c r="J23" s="15">
        <f>IF(COUNTA($A23:$C23)=0,"",IF($A23="","Falta a Área",IF($B23="","Falta o Setor",IF($C23="","Falta o nome",IF(COUNTIF($C$6:$C$403,$C23)&gt;1,"Nome repetido: use 01, 02… ou a Qtd",IF(LEFT($G23,7)="Confira","Confira o tipo na importação","OK"))))))</f>
        <v/>
      </c>
    </row>
    <row r="24">
      <c r="A24" s="16" t="n"/>
      <c r="B24" s="16" t="n"/>
      <c r="C24" s="16" t="n"/>
      <c r="D24" s="16" t="n"/>
      <c r="E24" s="17" t="n"/>
      <c r="F24" s="16" t="n"/>
      <c r="G24" s="15">
        <f>IF($C24="","",IFERROR(LOOKUP(2,1/((Reconhecimento!$A$5:$A$310&lt;&gt;"")*ISNUMBER(SEARCH(" "&amp;Reconhecimento!$A$5:$A$310," "&amp;$C24))),Reconhecimento!$B$5:$B$310),"Confira: escolha na importação"))</f>
        <v/>
      </c>
      <c r="H24" s="15">
        <f>IF($C24="","",IFERROR(LOOKUP(2,1/((Reconhecimento!$A$5:$A$310&lt;&gt;"")*ISNUMBER(SEARCH(" "&amp;Reconhecimento!$A$5:$A$310," "&amp;$C24))),Reconhecimento!$C$5:$C$310),"—"))</f>
        <v/>
      </c>
      <c r="I24" s="15">
        <f>IF($C24="","",IFERROR(VLOOKUP($G24,Tipos!$A$5:$B$51,2,FALSE),"—"))</f>
        <v/>
      </c>
      <c r="J24" s="15">
        <f>IF(COUNTA($A24:$C24)=0,"",IF($A24="","Falta a Área",IF($B24="","Falta o Setor",IF($C24="","Falta o nome",IF(COUNTIF($C$6:$C$403,$C24)&gt;1,"Nome repetido: use 01, 02… ou a Qtd",IF(LEFT($G24,7)="Confira","Confira o tipo na importação","OK"))))))</f>
        <v/>
      </c>
    </row>
    <row r="25">
      <c r="A25" s="16" t="n"/>
      <c r="B25" s="16" t="n"/>
      <c r="C25" s="16" t="n"/>
      <c r="D25" s="16" t="n"/>
      <c r="E25" s="17" t="n"/>
      <c r="F25" s="16" t="n"/>
      <c r="G25" s="15">
        <f>IF($C25="","",IFERROR(LOOKUP(2,1/((Reconhecimento!$A$5:$A$310&lt;&gt;"")*ISNUMBER(SEARCH(" "&amp;Reconhecimento!$A$5:$A$310," "&amp;$C25))),Reconhecimento!$B$5:$B$310),"Confira: escolha na importação"))</f>
        <v/>
      </c>
      <c r="H25" s="15">
        <f>IF($C25="","",IFERROR(LOOKUP(2,1/((Reconhecimento!$A$5:$A$310&lt;&gt;"")*ISNUMBER(SEARCH(" "&amp;Reconhecimento!$A$5:$A$310," "&amp;$C25))),Reconhecimento!$C$5:$C$310),"—"))</f>
        <v/>
      </c>
      <c r="I25" s="15">
        <f>IF($C25="","",IFERROR(VLOOKUP($G25,Tipos!$A$5:$B$51,2,FALSE),"—"))</f>
        <v/>
      </c>
      <c r="J25" s="15">
        <f>IF(COUNTA($A25:$C25)=0,"",IF($A25="","Falta a Área",IF($B25="","Falta o Setor",IF($C25="","Falta o nome",IF(COUNTIF($C$6:$C$403,$C25)&gt;1,"Nome repetido: use 01, 02… ou a Qtd",IF(LEFT($G25,7)="Confira","Confira o tipo na importação","OK"))))))</f>
        <v/>
      </c>
    </row>
    <row r="26">
      <c r="A26" s="16" t="n"/>
      <c r="B26" s="16" t="n"/>
      <c r="C26" s="16" t="n"/>
      <c r="D26" s="16" t="n"/>
      <c r="E26" s="17" t="n"/>
      <c r="F26" s="16" t="n"/>
      <c r="G26" s="15">
        <f>IF($C26="","",IFERROR(LOOKUP(2,1/((Reconhecimento!$A$5:$A$310&lt;&gt;"")*ISNUMBER(SEARCH(" "&amp;Reconhecimento!$A$5:$A$310," "&amp;$C26))),Reconhecimento!$B$5:$B$310),"Confira: escolha na importação"))</f>
        <v/>
      </c>
      <c r="H26" s="15">
        <f>IF($C26="","",IFERROR(LOOKUP(2,1/((Reconhecimento!$A$5:$A$310&lt;&gt;"")*ISNUMBER(SEARCH(" "&amp;Reconhecimento!$A$5:$A$310," "&amp;$C26))),Reconhecimento!$C$5:$C$310),"—"))</f>
        <v/>
      </c>
      <c r="I26" s="15">
        <f>IF($C26="","",IFERROR(VLOOKUP($G26,Tipos!$A$5:$B$51,2,FALSE),"—"))</f>
        <v/>
      </c>
      <c r="J26" s="15">
        <f>IF(COUNTA($A26:$C26)=0,"",IF($A26="","Falta a Área",IF($B26="","Falta o Setor",IF($C26="","Falta o nome",IF(COUNTIF($C$6:$C$403,$C26)&gt;1,"Nome repetido: use 01, 02… ou a Qtd",IF(LEFT($G26,7)="Confira","Confira o tipo na importação","OK"))))))</f>
        <v/>
      </c>
    </row>
    <row r="27">
      <c r="A27" s="16" t="n"/>
      <c r="B27" s="16" t="n"/>
      <c r="C27" s="16" t="n"/>
      <c r="D27" s="16" t="n"/>
      <c r="E27" s="17" t="n"/>
      <c r="F27" s="16" t="n"/>
      <c r="G27" s="15">
        <f>IF($C27="","",IFERROR(LOOKUP(2,1/((Reconhecimento!$A$5:$A$310&lt;&gt;"")*ISNUMBER(SEARCH(" "&amp;Reconhecimento!$A$5:$A$310," "&amp;$C27))),Reconhecimento!$B$5:$B$310),"Confira: escolha na importação"))</f>
        <v/>
      </c>
      <c r="H27" s="15">
        <f>IF($C27="","",IFERROR(LOOKUP(2,1/((Reconhecimento!$A$5:$A$310&lt;&gt;"")*ISNUMBER(SEARCH(" "&amp;Reconhecimento!$A$5:$A$310," "&amp;$C27))),Reconhecimento!$C$5:$C$310),"—"))</f>
        <v/>
      </c>
      <c r="I27" s="15">
        <f>IF($C27="","",IFERROR(VLOOKUP($G27,Tipos!$A$5:$B$51,2,FALSE),"—"))</f>
        <v/>
      </c>
      <c r="J27" s="15">
        <f>IF(COUNTA($A27:$C27)=0,"",IF($A27="","Falta a Área",IF($B27="","Falta o Setor",IF($C27="","Falta o nome",IF(COUNTIF($C$6:$C$403,$C27)&gt;1,"Nome repetido: use 01, 02… ou a Qtd",IF(LEFT($G27,7)="Confira","Confira o tipo na importação","OK"))))))</f>
        <v/>
      </c>
    </row>
    <row r="28">
      <c r="A28" s="16" t="n"/>
      <c r="B28" s="16" t="n"/>
      <c r="C28" s="16" t="n"/>
      <c r="D28" s="16" t="n"/>
      <c r="E28" s="17" t="n"/>
      <c r="F28" s="16" t="n"/>
      <c r="G28" s="15">
        <f>IF($C28="","",IFERROR(LOOKUP(2,1/((Reconhecimento!$A$5:$A$310&lt;&gt;"")*ISNUMBER(SEARCH(" "&amp;Reconhecimento!$A$5:$A$310," "&amp;$C28))),Reconhecimento!$B$5:$B$310),"Confira: escolha na importação"))</f>
        <v/>
      </c>
      <c r="H28" s="15">
        <f>IF($C28="","",IFERROR(LOOKUP(2,1/((Reconhecimento!$A$5:$A$310&lt;&gt;"")*ISNUMBER(SEARCH(" "&amp;Reconhecimento!$A$5:$A$310," "&amp;$C28))),Reconhecimento!$C$5:$C$310),"—"))</f>
        <v/>
      </c>
      <c r="I28" s="15">
        <f>IF($C28="","",IFERROR(VLOOKUP($G28,Tipos!$A$5:$B$51,2,FALSE),"—"))</f>
        <v/>
      </c>
      <c r="J28" s="15">
        <f>IF(COUNTA($A28:$C28)=0,"",IF($A28="","Falta a Área",IF($B28="","Falta o Setor",IF($C28="","Falta o nome",IF(COUNTIF($C$6:$C$403,$C28)&gt;1,"Nome repetido: use 01, 02… ou a Qtd",IF(LEFT($G28,7)="Confira","Confira o tipo na importação","OK"))))))</f>
        <v/>
      </c>
    </row>
    <row r="29">
      <c r="A29" s="16" t="n"/>
      <c r="B29" s="16" t="n"/>
      <c r="C29" s="16" t="n"/>
      <c r="D29" s="16" t="n"/>
      <c r="E29" s="17" t="n"/>
      <c r="F29" s="16" t="n"/>
      <c r="G29" s="15">
        <f>IF($C29="","",IFERROR(LOOKUP(2,1/((Reconhecimento!$A$5:$A$310&lt;&gt;"")*ISNUMBER(SEARCH(" "&amp;Reconhecimento!$A$5:$A$310," "&amp;$C29))),Reconhecimento!$B$5:$B$310),"Confira: escolha na importação"))</f>
        <v/>
      </c>
      <c r="H29" s="15">
        <f>IF($C29="","",IFERROR(LOOKUP(2,1/((Reconhecimento!$A$5:$A$310&lt;&gt;"")*ISNUMBER(SEARCH(" "&amp;Reconhecimento!$A$5:$A$310," "&amp;$C29))),Reconhecimento!$C$5:$C$310),"—"))</f>
        <v/>
      </c>
      <c r="I29" s="15">
        <f>IF($C29="","",IFERROR(VLOOKUP($G29,Tipos!$A$5:$B$51,2,FALSE),"—"))</f>
        <v/>
      </c>
      <c r="J29" s="15">
        <f>IF(COUNTA($A29:$C29)=0,"",IF($A29="","Falta a Área",IF($B29="","Falta o Setor",IF($C29="","Falta o nome",IF(COUNTIF($C$6:$C$403,$C29)&gt;1,"Nome repetido: use 01, 02… ou a Qtd",IF(LEFT($G29,7)="Confira","Confira o tipo na importação","OK"))))))</f>
        <v/>
      </c>
    </row>
    <row r="30">
      <c r="A30" s="16" t="n"/>
      <c r="B30" s="16" t="n"/>
      <c r="C30" s="16" t="n"/>
      <c r="D30" s="16" t="n"/>
      <c r="E30" s="17" t="n"/>
      <c r="F30" s="16" t="n"/>
      <c r="G30" s="15">
        <f>IF($C30="","",IFERROR(LOOKUP(2,1/((Reconhecimento!$A$5:$A$310&lt;&gt;"")*ISNUMBER(SEARCH(" "&amp;Reconhecimento!$A$5:$A$310," "&amp;$C30))),Reconhecimento!$B$5:$B$310),"Confira: escolha na importação"))</f>
        <v/>
      </c>
      <c r="H30" s="15">
        <f>IF($C30="","",IFERROR(LOOKUP(2,1/((Reconhecimento!$A$5:$A$310&lt;&gt;"")*ISNUMBER(SEARCH(" "&amp;Reconhecimento!$A$5:$A$310," "&amp;$C30))),Reconhecimento!$C$5:$C$310),"—"))</f>
        <v/>
      </c>
      <c r="I30" s="15">
        <f>IF($C30="","",IFERROR(VLOOKUP($G30,Tipos!$A$5:$B$51,2,FALSE),"—"))</f>
        <v/>
      </c>
      <c r="J30" s="15">
        <f>IF(COUNTA($A30:$C30)=0,"",IF($A30="","Falta a Área",IF($B30="","Falta o Setor",IF($C30="","Falta o nome",IF(COUNTIF($C$6:$C$403,$C30)&gt;1,"Nome repetido: use 01, 02… ou a Qtd",IF(LEFT($G30,7)="Confira","Confira o tipo na importação","OK"))))))</f>
        <v/>
      </c>
    </row>
    <row r="31">
      <c r="A31" s="16" t="n"/>
      <c r="B31" s="16" t="n"/>
      <c r="C31" s="16" t="n"/>
      <c r="D31" s="16" t="n"/>
      <c r="E31" s="17" t="n"/>
      <c r="F31" s="16" t="n"/>
      <c r="G31" s="15">
        <f>IF($C31="","",IFERROR(LOOKUP(2,1/((Reconhecimento!$A$5:$A$310&lt;&gt;"")*ISNUMBER(SEARCH(" "&amp;Reconhecimento!$A$5:$A$310," "&amp;$C31))),Reconhecimento!$B$5:$B$310),"Confira: escolha na importação"))</f>
        <v/>
      </c>
      <c r="H31" s="15">
        <f>IF($C31="","",IFERROR(LOOKUP(2,1/((Reconhecimento!$A$5:$A$310&lt;&gt;"")*ISNUMBER(SEARCH(" "&amp;Reconhecimento!$A$5:$A$310," "&amp;$C31))),Reconhecimento!$C$5:$C$310),"—"))</f>
        <v/>
      </c>
      <c r="I31" s="15">
        <f>IF($C31="","",IFERROR(VLOOKUP($G31,Tipos!$A$5:$B$51,2,FALSE),"—"))</f>
        <v/>
      </c>
      <c r="J31" s="15">
        <f>IF(COUNTA($A31:$C31)=0,"",IF($A31="","Falta a Área",IF($B31="","Falta o Setor",IF($C31="","Falta o nome",IF(COUNTIF($C$6:$C$403,$C31)&gt;1,"Nome repetido: use 01, 02… ou a Qtd",IF(LEFT($G31,7)="Confira","Confira o tipo na importação","OK"))))))</f>
        <v/>
      </c>
    </row>
    <row r="32">
      <c r="A32" s="16" t="n"/>
      <c r="B32" s="16" t="n"/>
      <c r="C32" s="16" t="n"/>
      <c r="D32" s="16" t="n"/>
      <c r="E32" s="17" t="n"/>
      <c r="F32" s="16" t="n"/>
      <c r="G32" s="15">
        <f>IF($C32="","",IFERROR(LOOKUP(2,1/((Reconhecimento!$A$5:$A$310&lt;&gt;"")*ISNUMBER(SEARCH(" "&amp;Reconhecimento!$A$5:$A$310," "&amp;$C32))),Reconhecimento!$B$5:$B$310),"Confira: escolha na importação"))</f>
        <v/>
      </c>
      <c r="H32" s="15">
        <f>IF($C32="","",IFERROR(LOOKUP(2,1/((Reconhecimento!$A$5:$A$310&lt;&gt;"")*ISNUMBER(SEARCH(" "&amp;Reconhecimento!$A$5:$A$310," "&amp;$C32))),Reconhecimento!$C$5:$C$310),"—"))</f>
        <v/>
      </c>
      <c r="I32" s="15">
        <f>IF($C32="","",IFERROR(VLOOKUP($G32,Tipos!$A$5:$B$51,2,FALSE),"—"))</f>
        <v/>
      </c>
      <c r="J32" s="15">
        <f>IF(COUNTA($A32:$C32)=0,"",IF($A32="","Falta a Área",IF($B32="","Falta o Setor",IF($C32="","Falta o nome",IF(COUNTIF($C$6:$C$403,$C32)&gt;1,"Nome repetido: use 01, 02… ou a Qtd",IF(LEFT($G32,7)="Confira","Confira o tipo na importação","OK"))))))</f>
        <v/>
      </c>
    </row>
    <row r="33">
      <c r="A33" s="16" t="n"/>
      <c r="B33" s="16" t="n"/>
      <c r="C33" s="16" t="n"/>
      <c r="D33" s="16" t="n"/>
      <c r="E33" s="17" t="n"/>
      <c r="F33" s="16" t="n"/>
      <c r="G33" s="15">
        <f>IF($C33="","",IFERROR(LOOKUP(2,1/((Reconhecimento!$A$5:$A$310&lt;&gt;"")*ISNUMBER(SEARCH(" "&amp;Reconhecimento!$A$5:$A$310," "&amp;$C33))),Reconhecimento!$B$5:$B$310),"Confira: escolha na importação"))</f>
        <v/>
      </c>
      <c r="H33" s="15">
        <f>IF($C33="","",IFERROR(LOOKUP(2,1/((Reconhecimento!$A$5:$A$310&lt;&gt;"")*ISNUMBER(SEARCH(" "&amp;Reconhecimento!$A$5:$A$310," "&amp;$C33))),Reconhecimento!$C$5:$C$310),"—"))</f>
        <v/>
      </c>
      <c r="I33" s="15">
        <f>IF($C33="","",IFERROR(VLOOKUP($G33,Tipos!$A$5:$B$51,2,FALSE),"—"))</f>
        <v/>
      </c>
      <c r="J33" s="15">
        <f>IF(COUNTA($A33:$C33)=0,"",IF($A33="","Falta a Área",IF($B33="","Falta o Setor",IF($C33="","Falta o nome",IF(COUNTIF($C$6:$C$403,$C33)&gt;1,"Nome repetido: use 01, 02… ou a Qtd",IF(LEFT($G33,7)="Confira","Confira o tipo na importação","OK"))))))</f>
        <v/>
      </c>
    </row>
    <row r="34">
      <c r="A34" s="16" t="n"/>
      <c r="B34" s="16" t="n"/>
      <c r="C34" s="16" t="n"/>
      <c r="D34" s="16" t="n"/>
      <c r="E34" s="17" t="n"/>
      <c r="F34" s="16" t="n"/>
      <c r="G34" s="15">
        <f>IF($C34="","",IFERROR(LOOKUP(2,1/((Reconhecimento!$A$5:$A$310&lt;&gt;"")*ISNUMBER(SEARCH(" "&amp;Reconhecimento!$A$5:$A$310," "&amp;$C34))),Reconhecimento!$B$5:$B$310),"Confira: escolha na importação"))</f>
        <v/>
      </c>
      <c r="H34" s="15">
        <f>IF($C34="","",IFERROR(LOOKUP(2,1/((Reconhecimento!$A$5:$A$310&lt;&gt;"")*ISNUMBER(SEARCH(" "&amp;Reconhecimento!$A$5:$A$310," "&amp;$C34))),Reconhecimento!$C$5:$C$310),"—"))</f>
        <v/>
      </c>
      <c r="I34" s="15">
        <f>IF($C34="","",IFERROR(VLOOKUP($G34,Tipos!$A$5:$B$51,2,FALSE),"—"))</f>
        <v/>
      </c>
      <c r="J34" s="15">
        <f>IF(COUNTA($A34:$C34)=0,"",IF($A34="","Falta a Área",IF($B34="","Falta o Setor",IF($C34="","Falta o nome",IF(COUNTIF($C$6:$C$403,$C34)&gt;1,"Nome repetido: use 01, 02… ou a Qtd",IF(LEFT($G34,7)="Confira","Confira o tipo na importação","OK"))))))</f>
        <v/>
      </c>
    </row>
    <row r="35">
      <c r="A35" s="16" t="n"/>
      <c r="B35" s="16" t="n"/>
      <c r="C35" s="16" t="n"/>
      <c r="D35" s="16" t="n"/>
      <c r="E35" s="17" t="n"/>
      <c r="F35" s="16" t="n"/>
      <c r="G35" s="15">
        <f>IF($C35="","",IFERROR(LOOKUP(2,1/((Reconhecimento!$A$5:$A$310&lt;&gt;"")*ISNUMBER(SEARCH(" "&amp;Reconhecimento!$A$5:$A$310," "&amp;$C35))),Reconhecimento!$B$5:$B$310),"Confira: escolha na importação"))</f>
        <v/>
      </c>
      <c r="H35" s="15">
        <f>IF($C35="","",IFERROR(LOOKUP(2,1/((Reconhecimento!$A$5:$A$310&lt;&gt;"")*ISNUMBER(SEARCH(" "&amp;Reconhecimento!$A$5:$A$310," "&amp;$C35))),Reconhecimento!$C$5:$C$310),"—"))</f>
        <v/>
      </c>
      <c r="I35" s="15">
        <f>IF($C35="","",IFERROR(VLOOKUP($G35,Tipos!$A$5:$B$51,2,FALSE),"—"))</f>
        <v/>
      </c>
      <c r="J35" s="15">
        <f>IF(COUNTA($A35:$C35)=0,"",IF($A35="","Falta a Área",IF($B35="","Falta o Setor",IF($C35="","Falta o nome",IF(COUNTIF($C$6:$C$403,$C35)&gt;1,"Nome repetido: use 01, 02… ou a Qtd",IF(LEFT($G35,7)="Confira","Confira o tipo na importação","OK"))))))</f>
        <v/>
      </c>
    </row>
    <row r="36">
      <c r="A36" s="16" t="n"/>
      <c r="B36" s="16" t="n"/>
      <c r="C36" s="16" t="n"/>
      <c r="D36" s="16" t="n"/>
      <c r="E36" s="17" t="n"/>
      <c r="F36" s="16" t="n"/>
      <c r="G36" s="15">
        <f>IF($C36="","",IFERROR(LOOKUP(2,1/((Reconhecimento!$A$5:$A$310&lt;&gt;"")*ISNUMBER(SEARCH(" "&amp;Reconhecimento!$A$5:$A$310," "&amp;$C36))),Reconhecimento!$B$5:$B$310),"Confira: escolha na importação"))</f>
        <v/>
      </c>
      <c r="H36" s="15">
        <f>IF($C36="","",IFERROR(LOOKUP(2,1/((Reconhecimento!$A$5:$A$310&lt;&gt;"")*ISNUMBER(SEARCH(" "&amp;Reconhecimento!$A$5:$A$310," "&amp;$C36))),Reconhecimento!$C$5:$C$310),"—"))</f>
        <v/>
      </c>
      <c r="I36" s="15">
        <f>IF($C36="","",IFERROR(VLOOKUP($G36,Tipos!$A$5:$B$51,2,FALSE),"—"))</f>
        <v/>
      </c>
      <c r="J36" s="15">
        <f>IF(COUNTA($A36:$C36)=0,"",IF($A36="","Falta a Área",IF($B36="","Falta o Setor",IF($C36="","Falta o nome",IF(COUNTIF($C$6:$C$403,$C36)&gt;1,"Nome repetido: use 01, 02… ou a Qtd",IF(LEFT($G36,7)="Confira","Confira o tipo na importação","OK"))))))</f>
        <v/>
      </c>
    </row>
    <row r="37">
      <c r="A37" s="16" t="n"/>
      <c r="B37" s="16" t="n"/>
      <c r="C37" s="16" t="n"/>
      <c r="D37" s="16" t="n"/>
      <c r="E37" s="17" t="n"/>
      <c r="F37" s="16" t="n"/>
      <c r="G37" s="15">
        <f>IF($C37="","",IFERROR(LOOKUP(2,1/((Reconhecimento!$A$5:$A$310&lt;&gt;"")*ISNUMBER(SEARCH(" "&amp;Reconhecimento!$A$5:$A$310," "&amp;$C37))),Reconhecimento!$B$5:$B$310),"Confira: escolha na importação"))</f>
        <v/>
      </c>
      <c r="H37" s="15">
        <f>IF($C37="","",IFERROR(LOOKUP(2,1/((Reconhecimento!$A$5:$A$310&lt;&gt;"")*ISNUMBER(SEARCH(" "&amp;Reconhecimento!$A$5:$A$310," "&amp;$C37))),Reconhecimento!$C$5:$C$310),"—"))</f>
        <v/>
      </c>
      <c r="I37" s="15">
        <f>IF($C37="","",IFERROR(VLOOKUP($G37,Tipos!$A$5:$B$51,2,FALSE),"—"))</f>
        <v/>
      </c>
      <c r="J37" s="15">
        <f>IF(COUNTA($A37:$C37)=0,"",IF($A37="","Falta a Área",IF($B37="","Falta o Setor",IF($C37="","Falta o nome",IF(COUNTIF($C$6:$C$403,$C37)&gt;1,"Nome repetido: use 01, 02… ou a Qtd",IF(LEFT($G37,7)="Confira","Confira o tipo na importação","OK"))))))</f>
        <v/>
      </c>
    </row>
    <row r="38">
      <c r="A38" s="16" t="n"/>
      <c r="B38" s="16" t="n"/>
      <c r="C38" s="16" t="n"/>
      <c r="D38" s="16" t="n"/>
      <c r="E38" s="17" t="n"/>
      <c r="F38" s="16" t="n"/>
      <c r="G38" s="15">
        <f>IF($C38="","",IFERROR(LOOKUP(2,1/((Reconhecimento!$A$5:$A$310&lt;&gt;"")*ISNUMBER(SEARCH(" "&amp;Reconhecimento!$A$5:$A$310," "&amp;$C38))),Reconhecimento!$B$5:$B$310),"Confira: escolha na importação"))</f>
        <v/>
      </c>
      <c r="H38" s="15">
        <f>IF($C38="","",IFERROR(LOOKUP(2,1/((Reconhecimento!$A$5:$A$310&lt;&gt;"")*ISNUMBER(SEARCH(" "&amp;Reconhecimento!$A$5:$A$310," "&amp;$C38))),Reconhecimento!$C$5:$C$310),"—"))</f>
        <v/>
      </c>
      <c r="I38" s="15">
        <f>IF($C38="","",IFERROR(VLOOKUP($G38,Tipos!$A$5:$B$51,2,FALSE),"—"))</f>
        <v/>
      </c>
      <c r="J38" s="15">
        <f>IF(COUNTA($A38:$C38)=0,"",IF($A38="","Falta a Área",IF($B38="","Falta o Setor",IF($C38="","Falta o nome",IF(COUNTIF($C$6:$C$403,$C38)&gt;1,"Nome repetido: use 01, 02… ou a Qtd",IF(LEFT($G38,7)="Confira","Confira o tipo na importação","OK"))))))</f>
        <v/>
      </c>
    </row>
    <row r="39">
      <c r="A39" s="16" t="n"/>
      <c r="B39" s="16" t="n"/>
      <c r="C39" s="16" t="n"/>
      <c r="D39" s="16" t="n"/>
      <c r="E39" s="17" t="n"/>
      <c r="F39" s="16" t="n"/>
      <c r="G39" s="15">
        <f>IF($C39="","",IFERROR(LOOKUP(2,1/((Reconhecimento!$A$5:$A$310&lt;&gt;"")*ISNUMBER(SEARCH(" "&amp;Reconhecimento!$A$5:$A$310," "&amp;$C39))),Reconhecimento!$B$5:$B$310),"Confira: escolha na importação"))</f>
        <v/>
      </c>
      <c r="H39" s="15">
        <f>IF($C39="","",IFERROR(LOOKUP(2,1/((Reconhecimento!$A$5:$A$310&lt;&gt;"")*ISNUMBER(SEARCH(" "&amp;Reconhecimento!$A$5:$A$310," "&amp;$C39))),Reconhecimento!$C$5:$C$310),"—"))</f>
        <v/>
      </c>
      <c r="I39" s="15">
        <f>IF($C39="","",IFERROR(VLOOKUP($G39,Tipos!$A$5:$B$51,2,FALSE),"—"))</f>
        <v/>
      </c>
      <c r="J39" s="15">
        <f>IF(COUNTA($A39:$C39)=0,"",IF($A39="","Falta a Área",IF($B39="","Falta o Setor",IF($C39="","Falta o nome",IF(COUNTIF($C$6:$C$403,$C39)&gt;1,"Nome repetido: use 01, 02… ou a Qtd",IF(LEFT($G39,7)="Confira","Confira o tipo na importação","OK"))))))</f>
        <v/>
      </c>
    </row>
    <row r="40">
      <c r="A40" s="16" t="n"/>
      <c r="B40" s="16" t="n"/>
      <c r="C40" s="16" t="n"/>
      <c r="D40" s="16" t="n"/>
      <c r="E40" s="17" t="n"/>
      <c r="F40" s="16" t="n"/>
      <c r="G40" s="15">
        <f>IF($C40="","",IFERROR(LOOKUP(2,1/((Reconhecimento!$A$5:$A$310&lt;&gt;"")*ISNUMBER(SEARCH(" "&amp;Reconhecimento!$A$5:$A$310," "&amp;$C40))),Reconhecimento!$B$5:$B$310),"Confira: escolha na importação"))</f>
        <v/>
      </c>
      <c r="H40" s="15">
        <f>IF($C40="","",IFERROR(LOOKUP(2,1/((Reconhecimento!$A$5:$A$310&lt;&gt;"")*ISNUMBER(SEARCH(" "&amp;Reconhecimento!$A$5:$A$310," "&amp;$C40))),Reconhecimento!$C$5:$C$310),"—"))</f>
        <v/>
      </c>
      <c r="I40" s="15">
        <f>IF($C40="","",IFERROR(VLOOKUP($G40,Tipos!$A$5:$B$51,2,FALSE),"—"))</f>
        <v/>
      </c>
      <c r="J40" s="15">
        <f>IF(COUNTA($A40:$C40)=0,"",IF($A40="","Falta a Área",IF($B40="","Falta o Setor",IF($C40="","Falta o nome",IF(COUNTIF($C$6:$C$403,$C40)&gt;1,"Nome repetido: use 01, 02… ou a Qtd",IF(LEFT($G40,7)="Confira","Confira o tipo na importação","OK"))))))</f>
        <v/>
      </c>
    </row>
    <row r="41">
      <c r="A41" s="16" t="n"/>
      <c r="B41" s="16" t="n"/>
      <c r="C41" s="16" t="n"/>
      <c r="D41" s="16" t="n"/>
      <c r="E41" s="17" t="n"/>
      <c r="F41" s="16" t="n"/>
      <c r="G41" s="15">
        <f>IF($C41="","",IFERROR(LOOKUP(2,1/((Reconhecimento!$A$5:$A$310&lt;&gt;"")*ISNUMBER(SEARCH(" "&amp;Reconhecimento!$A$5:$A$310," "&amp;$C41))),Reconhecimento!$B$5:$B$310),"Confira: escolha na importação"))</f>
        <v/>
      </c>
      <c r="H41" s="15">
        <f>IF($C41="","",IFERROR(LOOKUP(2,1/((Reconhecimento!$A$5:$A$310&lt;&gt;"")*ISNUMBER(SEARCH(" "&amp;Reconhecimento!$A$5:$A$310," "&amp;$C41))),Reconhecimento!$C$5:$C$310),"—"))</f>
        <v/>
      </c>
      <c r="I41" s="15">
        <f>IF($C41="","",IFERROR(VLOOKUP($G41,Tipos!$A$5:$B$51,2,FALSE),"—"))</f>
        <v/>
      </c>
      <c r="J41" s="15">
        <f>IF(COUNTA($A41:$C41)=0,"",IF($A41="","Falta a Área",IF($B41="","Falta o Setor",IF($C41="","Falta o nome",IF(COUNTIF($C$6:$C$403,$C41)&gt;1,"Nome repetido: use 01, 02… ou a Qtd",IF(LEFT($G41,7)="Confira","Confira o tipo na importação","OK"))))))</f>
        <v/>
      </c>
    </row>
    <row r="42">
      <c r="A42" s="16" t="n"/>
      <c r="B42" s="16" t="n"/>
      <c r="C42" s="16" t="n"/>
      <c r="D42" s="16" t="n"/>
      <c r="E42" s="17" t="n"/>
      <c r="F42" s="16" t="n"/>
      <c r="G42" s="15">
        <f>IF($C42="","",IFERROR(LOOKUP(2,1/((Reconhecimento!$A$5:$A$310&lt;&gt;"")*ISNUMBER(SEARCH(" "&amp;Reconhecimento!$A$5:$A$310," "&amp;$C42))),Reconhecimento!$B$5:$B$310),"Confira: escolha na importação"))</f>
        <v/>
      </c>
      <c r="H42" s="15">
        <f>IF($C42="","",IFERROR(LOOKUP(2,1/((Reconhecimento!$A$5:$A$310&lt;&gt;"")*ISNUMBER(SEARCH(" "&amp;Reconhecimento!$A$5:$A$310," "&amp;$C42))),Reconhecimento!$C$5:$C$310),"—"))</f>
        <v/>
      </c>
      <c r="I42" s="15">
        <f>IF($C42="","",IFERROR(VLOOKUP($G42,Tipos!$A$5:$B$51,2,FALSE),"—"))</f>
        <v/>
      </c>
      <c r="J42" s="15">
        <f>IF(COUNTA($A42:$C42)=0,"",IF($A42="","Falta a Área",IF($B42="","Falta o Setor",IF($C42="","Falta o nome",IF(COUNTIF($C$6:$C$403,$C42)&gt;1,"Nome repetido: use 01, 02… ou a Qtd",IF(LEFT($G42,7)="Confira","Confira o tipo na importação","OK"))))))</f>
        <v/>
      </c>
    </row>
    <row r="43">
      <c r="A43" s="16" t="n"/>
      <c r="B43" s="16" t="n"/>
      <c r="C43" s="16" t="n"/>
      <c r="D43" s="16" t="n"/>
      <c r="E43" s="17" t="n"/>
      <c r="F43" s="16" t="n"/>
      <c r="G43" s="15">
        <f>IF($C43="","",IFERROR(LOOKUP(2,1/((Reconhecimento!$A$5:$A$310&lt;&gt;"")*ISNUMBER(SEARCH(" "&amp;Reconhecimento!$A$5:$A$310," "&amp;$C43))),Reconhecimento!$B$5:$B$310),"Confira: escolha na importação"))</f>
        <v/>
      </c>
      <c r="H43" s="15">
        <f>IF($C43="","",IFERROR(LOOKUP(2,1/((Reconhecimento!$A$5:$A$310&lt;&gt;"")*ISNUMBER(SEARCH(" "&amp;Reconhecimento!$A$5:$A$310," "&amp;$C43))),Reconhecimento!$C$5:$C$310),"—"))</f>
        <v/>
      </c>
      <c r="I43" s="15">
        <f>IF($C43="","",IFERROR(VLOOKUP($G43,Tipos!$A$5:$B$51,2,FALSE),"—"))</f>
        <v/>
      </c>
      <c r="J43" s="15">
        <f>IF(COUNTA($A43:$C43)=0,"",IF($A43="","Falta a Área",IF($B43="","Falta o Setor",IF($C43="","Falta o nome",IF(COUNTIF($C$6:$C$403,$C43)&gt;1,"Nome repetido: use 01, 02… ou a Qtd",IF(LEFT($G43,7)="Confira","Confira o tipo na importação","OK"))))))</f>
        <v/>
      </c>
    </row>
    <row r="44">
      <c r="A44" s="16" t="n"/>
      <c r="B44" s="16" t="n"/>
      <c r="C44" s="16" t="n"/>
      <c r="D44" s="16" t="n"/>
      <c r="E44" s="17" t="n"/>
      <c r="F44" s="16" t="n"/>
      <c r="G44" s="15">
        <f>IF($C44="","",IFERROR(LOOKUP(2,1/((Reconhecimento!$A$5:$A$310&lt;&gt;"")*ISNUMBER(SEARCH(" "&amp;Reconhecimento!$A$5:$A$310," "&amp;$C44))),Reconhecimento!$B$5:$B$310),"Confira: escolha na importação"))</f>
        <v/>
      </c>
      <c r="H44" s="15">
        <f>IF($C44="","",IFERROR(LOOKUP(2,1/((Reconhecimento!$A$5:$A$310&lt;&gt;"")*ISNUMBER(SEARCH(" "&amp;Reconhecimento!$A$5:$A$310," "&amp;$C44))),Reconhecimento!$C$5:$C$310),"—"))</f>
        <v/>
      </c>
      <c r="I44" s="15">
        <f>IF($C44="","",IFERROR(VLOOKUP($G44,Tipos!$A$5:$B$51,2,FALSE),"—"))</f>
        <v/>
      </c>
      <c r="J44" s="15">
        <f>IF(COUNTA($A44:$C44)=0,"",IF($A44="","Falta a Área",IF($B44="","Falta o Setor",IF($C44="","Falta o nome",IF(COUNTIF($C$6:$C$403,$C44)&gt;1,"Nome repetido: use 01, 02… ou a Qtd",IF(LEFT($G44,7)="Confira","Confira o tipo na importação","OK"))))))</f>
        <v/>
      </c>
    </row>
    <row r="45">
      <c r="A45" s="16" t="n"/>
      <c r="B45" s="16" t="n"/>
      <c r="C45" s="16" t="n"/>
      <c r="D45" s="16" t="n"/>
      <c r="E45" s="17" t="n"/>
      <c r="F45" s="16" t="n"/>
      <c r="G45" s="15">
        <f>IF($C45="","",IFERROR(LOOKUP(2,1/((Reconhecimento!$A$5:$A$310&lt;&gt;"")*ISNUMBER(SEARCH(" "&amp;Reconhecimento!$A$5:$A$310," "&amp;$C45))),Reconhecimento!$B$5:$B$310),"Confira: escolha na importação"))</f>
        <v/>
      </c>
      <c r="H45" s="15">
        <f>IF($C45="","",IFERROR(LOOKUP(2,1/((Reconhecimento!$A$5:$A$310&lt;&gt;"")*ISNUMBER(SEARCH(" "&amp;Reconhecimento!$A$5:$A$310," "&amp;$C45))),Reconhecimento!$C$5:$C$310),"—"))</f>
        <v/>
      </c>
      <c r="I45" s="15">
        <f>IF($C45="","",IFERROR(VLOOKUP($G45,Tipos!$A$5:$B$51,2,FALSE),"—"))</f>
        <v/>
      </c>
      <c r="J45" s="15">
        <f>IF(COUNTA($A45:$C45)=0,"",IF($A45="","Falta a Área",IF($B45="","Falta o Setor",IF($C45="","Falta o nome",IF(COUNTIF($C$6:$C$403,$C45)&gt;1,"Nome repetido: use 01, 02… ou a Qtd",IF(LEFT($G45,7)="Confira","Confira o tipo na importação","OK"))))))</f>
        <v/>
      </c>
    </row>
    <row r="46">
      <c r="A46" s="16" t="n"/>
      <c r="B46" s="16" t="n"/>
      <c r="C46" s="16" t="n"/>
      <c r="D46" s="16" t="n"/>
      <c r="E46" s="17" t="n"/>
      <c r="F46" s="16" t="n"/>
      <c r="G46" s="15">
        <f>IF($C46="","",IFERROR(LOOKUP(2,1/((Reconhecimento!$A$5:$A$310&lt;&gt;"")*ISNUMBER(SEARCH(" "&amp;Reconhecimento!$A$5:$A$310," "&amp;$C46))),Reconhecimento!$B$5:$B$310),"Confira: escolha na importação"))</f>
        <v/>
      </c>
      <c r="H46" s="15">
        <f>IF($C46="","",IFERROR(LOOKUP(2,1/((Reconhecimento!$A$5:$A$310&lt;&gt;"")*ISNUMBER(SEARCH(" "&amp;Reconhecimento!$A$5:$A$310," "&amp;$C46))),Reconhecimento!$C$5:$C$310),"—"))</f>
        <v/>
      </c>
      <c r="I46" s="15">
        <f>IF($C46="","",IFERROR(VLOOKUP($G46,Tipos!$A$5:$B$51,2,FALSE),"—"))</f>
        <v/>
      </c>
      <c r="J46" s="15">
        <f>IF(COUNTA($A46:$C46)=0,"",IF($A46="","Falta a Área",IF($B46="","Falta o Setor",IF($C46="","Falta o nome",IF(COUNTIF($C$6:$C$403,$C46)&gt;1,"Nome repetido: use 01, 02… ou a Qtd",IF(LEFT($G46,7)="Confira","Confira o tipo na importação","OK"))))))</f>
        <v/>
      </c>
    </row>
    <row r="47">
      <c r="A47" s="16" t="n"/>
      <c r="B47" s="16" t="n"/>
      <c r="C47" s="16" t="n"/>
      <c r="D47" s="16" t="n"/>
      <c r="E47" s="17" t="n"/>
      <c r="F47" s="16" t="n"/>
      <c r="G47" s="15">
        <f>IF($C47="","",IFERROR(LOOKUP(2,1/((Reconhecimento!$A$5:$A$310&lt;&gt;"")*ISNUMBER(SEARCH(" "&amp;Reconhecimento!$A$5:$A$310," "&amp;$C47))),Reconhecimento!$B$5:$B$310),"Confira: escolha na importação"))</f>
        <v/>
      </c>
      <c r="H47" s="15">
        <f>IF($C47="","",IFERROR(LOOKUP(2,1/((Reconhecimento!$A$5:$A$310&lt;&gt;"")*ISNUMBER(SEARCH(" "&amp;Reconhecimento!$A$5:$A$310," "&amp;$C47))),Reconhecimento!$C$5:$C$310),"—"))</f>
        <v/>
      </c>
      <c r="I47" s="15">
        <f>IF($C47="","",IFERROR(VLOOKUP($G47,Tipos!$A$5:$B$51,2,FALSE),"—"))</f>
        <v/>
      </c>
      <c r="J47" s="15">
        <f>IF(COUNTA($A47:$C47)=0,"",IF($A47="","Falta a Área",IF($B47="","Falta o Setor",IF($C47="","Falta o nome",IF(COUNTIF($C$6:$C$403,$C47)&gt;1,"Nome repetido: use 01, 02… ou a Qtd",IF(LEFT($G47,7)="Confira","Confira o tipo na importação","OK"))))))</f>
        <v/>
      </c>
    </row>
    <row r="48">
      <c r="A48" s="16" t="n"/>
      <c r="B48" s="16" t="n"/>
      <c r="C48" s="16" t="n"/>
      <c r="D48" s="16" t="n"/>
      <c r="E48" s="17" t="n"/>
      <c r="F48" s="16" t="n"/>
      <c r="G48" s="15">
        <f>IF($C48="","",IFERROR(LOOKUP(2,1/((Reconhecimento!$A$5:$A$310&lt;&gt;"")*ISNUMBER(SEARCH(" "&amp;Reconhecimento!$A$5:$A$310," "&amp;$C48))),Reconhecimento!$B$5:$B$310),"Confira: escolha na importação"))</f>
        <v/>
      </c>
      <c r="H48" s="15">
        <f>IF($C48="","",IFERROR(LOOKUP(2,1/((Reconhecimento!$A$5:$A$310&lt;&gt;"")*ISNUMBER(SEARCH(" "&amp;Reconhecimento!$A$5:$A$310," "&amp;$C48))),Reconhecimento!$C$5:$C$310),"—"))</f>
        <v/>
      </c>
      <c r="I48" s="15">
        <f>IF($C48="","",IFERROR(VLOOKUP($G48,Tipos!$A$5:$B$51,2,FALSE),"—"))</f>
        <v/>
      </c>
      <c r="J48" s="15">
        <f>IF(COUNTA($A48:$C48)=0,"",IF($A48="","Falta a Área",IF($B48="","Falta o Setor",IF($C48="","Falta o nome",IF(COUNTIF($C$6:$C$403,$C48)&gt;1,"Nome repetido: use 01, 02… ou a Qtd",IF(LEFT($G48,7)="Confira","Confira o tipo na importação","OK"))))))</f>
        <v/>
      </c>
    </row>
    <row r="49">
      <c r="A49" s="16" t="n"/>
      <c r="B49" s="16" t="n"/>
      <c r="C49" s="16" t="n"/>
      <c r="D49" s="16" t="n"/>
      <c r="E49" s="17" t="n"/>
      <c r="F49" s="16" t="n"/>
      <c r="G49" s="15">
        <f>IF($C49="","",IFERROR(LOOKUP(2,1/((Reconhecimento!$A$5:$A$310&lt;&gt;"")*ISNUMBER(SEARCH(" "&amp;Reconhecimento!$A$5:$A$310," "&amp;$C49))),Reconhecimento!$B$5:$B$310),"Confira: escolha na importação"))</f>
        <v/>
      </c>
      <c r="H49" s="15">
        <f>IF($C49="","",IFERROR(LOOKUP(2,1/((Reconhecimento!$A$5:$A$310&lt;&gt;"")*ISNUMBER(SEARCH(" "&amp;Reconhecimento!$A$5:$A$310," "&amp;$C49))),Reconhecimento!$C$5:$C$310),"—"))</f>
        <v/>
      </c>
      <c r="I49" s="15">
        <f>IF($C49="","",IFERROR(VLOOKUP($G49,Tipos!$A$5:$B$51,2,FALSE),"—"))</f>
        <v/>
      </c>
      <c r="J49" s="15">
        <f>IF(COUNTA($A49:$C49)=0,"",IF($A49="","Falta a Área",IF($B49="","Falta o Setor",IF($C49="","Falta o nome",IF(COUNTIF($C$6:$C$403,$C49)&gt;1,"Nome repetido: use 01, 02… ou a Qtd",IF(LEFT($G49,7)="Confira","Confira o tipo na importação","OK"))))))</f>
        <v/>
      </c>
    </row>
    <row r="50">
      <c r="A50" s="16" t="n"/>
      <c r="B50" s="16" t="n"/>
      <c r="C50" s="16" t="n"/>
      <c r="D50" s="16" t="n"/>
      <c r="E50" s="17" t="n"/>
      <c r="F50" s="16" t="n"/>
      <c r="G50" s="15">
        <f>IF($C50="","",IFERROR(LOOKUP(2,1/((Reconhecimento!$A$5:$A$310&lt;&gt;"")*ISNUMBER(SEARCH(" "&amp;Reconhecimento!$A$5:$A$310," "&amp;$C50))),Reconhecimento!$B$5:$B$310),"Confira: escolha na importação"))</f>
        <v/>
      </c>
      <c r="H50" s="15">
        <f>IF($C50="","",IFERROR(LOOKUP(2,1/((Reconhecimento!$A$5:$A$310&lt;&gt;"")*ISNUMBER(SEARCH(" "&amp;Reconhecimento!$A$5:$A$310," "&amp;$C50))),Reconhecimento!$C$5:$C$310),"—"))</f>
        <v/>
      </c>
      <c r="I50" s="15">
        <f>IF($C50="","",IFERROR(VLOOKUP($G50,Tipos!$A$5:$B$51,2,FALSE),"—"))</f>
        <v/>
      </c>
      <c r="J50" s="15">
        <f>IF(COUNTA($A50:$C50)=0,"",IF($A50="","Falta a Área",IF($B50="","Falta o Setor",IF($C50="","Falta o nome",IF(COUNTIF($C$6:$C$403,$C50)&gt;1,"Nome repetido: use 01, 02… ou a Qtd",IF(LEFT($G50,7)="Confira","Confira o tipo na importação","OK"))))))</f>
        <v/>
      </c>
    </row>
    <row r="51">
      <c r="A51" s="16" t="n"/>
      <c r="B51" s="16" t="n"/>
      <c r="C51" s="16" t="n"/>
      <c r="D51" s="16" t="n"/>
      <c r="E51" s="17" t="n"/>
      <c r="F51" s="16" t="n"/>
      <c r="G51" s="15">
        <f>IF($C51="","",IFERROR(LOOKUP(2,1/((Reconhecimento!$A$5:$A$310&lt;&gt;"")*ISNUMBER(SEARCH(" "&amp;Reconhecimento!$A$5:$A$310," "&amp;$C51))),Reconhecimento!$B$5:$B$310),"Confira: escolha na importação"))</f>
        <v/>
      </c>
      <c r="H51" s="15">
        <f>IF($C51="","",IFERROR(LOOKUP(2,1/((Reconhecimento!$A$5:$A$310&lt;&gt;"")*ISNUMBER(SEARCH(" "&amp;Reconhecimento!$A$5:$A$310," "&amp;$C51))),Reconhecimento!$C$5:$C$310),"—"))</f>
        <v/>
      </c>
      <c r="I51" s="15">
        <f>IF($C51="","",IFERROR(VLOOKUP($G51,Tipos!$A$5:$B$51,2,FALSE),"—"))</f>
        <v/>
      </c>
      <c r="J51" s="15">
        <f>IF(COUNTA($A51:$C51)=0,"",IF($A51="","Falta a Área",IF($B51="","Falta o Setor",IF($C51="","Falta o nome",IF(COUNTIF($C$6:$C$403,$C51)&gt;1,"Nome repetido: use 01, 02… ou a Qtd",IF(LEFT($G51,7)="Confira","Confira o tipo na importação","OK"))))))</f>
        <v/>
      </c>
    </row>
    <row r="52">
      <c r="A52" s="16" t="n"/>
      <c r="B52" s="16" t="n"/>
      <c r="C52" s="16" t="n"/>
      <c r="D52" s="16" t="n"/>
      <c r="E52" s="17" t="n"/>
      <c r="F52" s="16" t="n"/>
      <c r="G52" s="15">
        <f>IF($C52="","",IFERROR(LOOKUP(2,1/((Reconhecimento!$A$5:$A$310&lt;&gt;"")*ISNUMBER(SEARCH(" "&amp;Reconhecimento!$A$5:$A$310," "&amp;$C52))),Reconhecimento!$B$5:$B$310),"Confira: escolha na importação"))</f>
        <v/>
      </c>
      <c r="H52" s="15">
        <f>IF($C52="","",IFERROR(LOOKUP(2,1/((Reconhecimento!$A$5:$A$310&lt;&gt;"")*ISNUMBER(SEARCH(" "&amp;Reconhecimento!$A$5:$A$310," "&amp;$C52))),Reconhecimento!$C$5:$C$310),"—"))</f>
        <v/>
      </c>
      <c r="I52" s="15">
        <f>IF($C52="","",IFERROR(VLOOKUP($G52,Tipos!$A$5:$B$51,2,FALSE),"—"))</f>
        <v/>
      </c>
      <c r="J52" s="15">
        <f>IF(COUNTA($A52:$C52)=0,"",IF($A52="","Falta a Área",IF($B52="","Falta o Setor",IF($C52="","Falta o nome",IF(COUNTIF($C$6:$C$403,$C52)&gt;1,"Nome repetido: use 01, 02… ou a Qtd",IF(LEFT($G52,7)="Confira","Confira o tipo na importação","OK"))))))</f>
        <v/>
      </c>
    </row>
    <row r="53">
      <c r="A53" s="16" t="n"/>
      <c r="B53" s="16" t="n"/>
      <c r="C53" s="16" t="n"/>
      <c r="D53" s="16" t="n"/>
      <c r="E53" s="17" t="n"/>
      <c r="F53" s="16" t="n"/>
      <c r="G53" s="15">
        <f>IF($C53="","",IFERROR(LOOKUP(2,1/((Reconhecimento!$A$5:$A$310&lt;&gt;"")*ISNUMBER(SEARCH(" "&amp;Reconhecimento!$A$5:$A$310," "&amp;$C53))),Reconhecimento!$B$5:$B$310),"Confira: escolha na importação"))</f>
        <v/>
      </c>
      <c r="H53" s="15">
        <f>IF($C53="","",IFERROR(LOOKUP(2,1/((Reconhecimento!$A$5:$A$310&lt;&gt;"")*ISNUMBER(SEARCH(" "&amp;Reconhecimento!$A$5:$A$310," "&amp;$C53))),Reconhecimento!$C$5:$C$310),"—"))</f>
        <v/>
      </c>
      <c r="I53" s="15">
        <f>IF($C53="","",IFERROR(VLOOKUP($G53,Tipos!$A$5:$B$51,2,FALSE),"—"))</f>
        <v/>
      </c>
      <c r="J53" s="15">
        <f>IF(COUNTA($A53:$C53)=0,"",IF($A53="","Falta a Área",IF($B53="","Falta o Setor",IF($C53="","Falta o nome",IF(COUNTIF($C$6:$C$403,$C53)&gt;1,"Nome repetido: use 01, 02… ou a Qtd",IF(LEFT($G53,7)="Confira","Confira o tipo na importação","OK"))))))</f>
        <v/>
      </c>
    </row>
    <row r="54">
      <c r="A54" s="16" t="n"/>
      <c r="B54" s="16" t="n"/>
      <c r="C54" s="16" t="n"/>
      <c r="D54" s="16" t="n"/>
      <c r="E54" s="17" t="n"/>
      <c r="F54" s="16" t="n"/>
      <c r="G54" s="15">
        <f>IF($C54="","",IFERROR(LOOKUP(2,1/((Reconhecimento!$A$5:$A$310&lt;&gt;"")*ISNUMBER(SEARCH(" "&amp;Reconhecimento!$A$5:$A$310," "&amp;$C54))),Reconhecimento!$B$5:$B$310),"Confira: escolha na importação"))</f>
        <v/>
      </c>
      <c r="H54" s="15">
        <f>IF($C54="","",IFERROR(LOOKUP(2,1/((Reconhecimento!$A$5:$A$310&lt;&gt;"")*ISNUMBER(SEARCH(" "&amp;Reconhecimento!$A$5:$A$310," "&amp;$C54))),Reconhecimento!$C$5:$C$310),"—"))</f>
        <v/>
      </c>
      <c r="I54" s="15">
        <f>IF($C54="","",IFERROR(VLOOKUP($G54,Tipos!$A$5:$B$51,2,FALSE),"—"))</f>
        <v/>
      </c>
      <c r="J54" s="15">
        <f>IF(COUNTA($A54:$C54)=0,"",IF($A54="","Falta a Área",IF($B54="","Falta o Setor",IF($C54="","Falta o nome",IF(COUNTIF($C$6:$C$403,$C54)&gt;1,"Nome repetido: use 01, 02… ou a Qtd",IF(LEFT($G54,7)="Confira","Confira o tipo na importação","OK"))))))</f>
        <v/>
      </c>
    </row>
    <row r="55">
      <c r="A55" s="16" t="n"/>
      <c r="B55" s="16" t="n"/>
      <c r="C55" s="16" t="n"/>
      <c r="D55" s="16" t="n"/>
      <c r="E55" s="17" t="n"/>
      <c r="F55" s="16" t="n"/>
      <c r="G55" s="15">
        <f>IF($C55="","",IFERROR(LOOKUP(2,1/((Reconhecimento!$A$5:$A$310&lt;&gt;"")*ISNUMBER(SEARCH(" "&amp;Reconhecimento!$A$5:$A$310," "&amp;$C55))),Reconhecimento!$B$5:$B$310),"Confira: escolha na importação"))</f>
        <v/>
      </c>
      <c r="H55" s="15">
        <f>IF($C55="","",IFERROR(LOOKUP(2,1/((Reconhecimento!$A$5:$A$310&lt;&gt;"")*ISNUMBER(SEARCH(" "&amp;Reconhecimento!$A$5:$A$310," "&amp;$C55))),Reconhecimento!$C$5:$C$310),"—"))</f>
        <v/>
      </c>
      <c r="I55" s="15">
        <f>IF($C55="","",IFERROR(VLOOKUP($G55,Tipos!$A$5:$B$51,2,FALSE),"—"))</f>
        <v/>
      </c>
      <c r="J55" s="15">
        <f>IF(COUNTA($A55:$C55)=0,"",IF($A55="","Falta a Área",IF($B55="","Falta o Setor",IF($C55="","Falta o nome",IF(COUNTIF($C$6:$C$403,$C55)&gt;1,"Nome repetido: use 01, 02… ou a Qtd",IF(LEFT($G55,7)="Confira","Confira o tipo na importação","OK"))))))</f>
        <v/>
      </c>
    </row>
    <row r="56">
      <c r="A56" s="16" t="n"/>
      <c r="B56" s="16" t="n"/>
      <c r="C56" s="16" t="n"/>
      <c r="D56" s="16" t="n"/>
      <c r="E56" s="17" t="n"/>
      <c r="F56" s="16" t="n"/>
      <c r="G56" s="15">
        <f>IF($C56="","",IFERROR(LOOKUP(2,1/((Reconhecimento!$A$5:$A$310&lt;&gt;"")*ISNUMBER(SEARCH(" "&amp;Reconhecimento!$A$5:$A$310," "&amp;$C56))),Reconhecimento!$B$5:$B$310),"Confira: escolha na importação"))</f>
        <v/>
      </c>
      <c r="H56" s="15">
        <f>IF($C56="","",IFERROR(LOOKUP(2,1/((Reconhecimento!$A$5:$A$310&lt;&gt;"")*ISNUMBER(SEARCH(" "&amp;Reconhecimento!$A$5:$A$310," "&amp;$C56))),Reconhecimento!$C$5:$C$310),"—"))</f>
        <v/>
      </c>
      <c r="I56" s="15">
        <f>IF($C56="","",IFERROR(VLOOKUP($G56,Tipos!$A$5:$B$51,2,FALSE),"—"))</f>
        <v/>
      </c>
      <c r="J56" s="15">
        <f>IF(COUNTA($A56:$C56)=0,"",IF($A56="","Falta a Área",IF($B56="","Falta o Setor",IF($C56="","Falta o nome",IF(COUNTIF($C$6:$C$403,$C56)&gt;1,"Nome repetido: use 01, 02… ou a Qtd",IF(LEFT($G56,7)="Confira","Confira o tipo na importação","OK"))))))</f>
        <v/>
      </c>
    </row>
    <row r="57">
      <c r="A57" s="16" t="n"/>
      <c r="B57" s="16" t="n"/>
      <c r="C57" s="16" t="n"/>
      <c r="D57" s="16" t="n"/>
      <c r="E57" s="17" t="n"/>
      <c r="F57" s="16" t="n"/>
      <c r="G57" s="15">
        <f>IF($C57="","",IFERROR(LOOKUP(2,1/((Reconhecimento!$A$5:$A$310&lt;&gt;"")*ISNUMBER(SEARCH(" "&amp;Reconhecimento!$A$5:$A$310," "&amp;$C57))),Reconhecimento!$B$5:$B$310),"Confira: escolha na importação"))</f>
        <v/>
      </c>
      <c r="H57" s="15">
        <f>IF($C57="","",IFERROR(LOOKUP(2,1/((Reconhecimento!$A$5:$A$310&lt;&gt;"")*ISNUMBER(SEARCH(" "&amp;Reconhecimento!$A$5:$A$310," "&amp;$C57))),Reconhecimento!$C$5:$C$310),"—"))</f>
        <v/>
      </c>
      <c r="I57" s="15">
        <f>IF($C57="","",IFERROR(VLOOKUP($G57,Tipos!$A$5:$B$51,2,FALSE),"—"))</f>
        <v/>
      </c>
      <c r="J57" s="15">
        <f>IF(COUNTA($A57:$C57)=0,"",IF($A57="","Falta a Área",IF($B57="","Falta o Setor",IF($C57="","Falta o nome",IF(COUNTIF($C$6:$C$403,$C57)&gt;1,"Nome repetido: use 01, 02… ou a Qtd",IF(LEFT($G57,7)="Confira","Confira o tipo na importação","OK"))))))</f>
        <v/>
      </c>
    </row>
    <row r="58">
      <c r="A58" s="16" t="n"/>
      <c r="B58" s="16" t="n"/>
      <c r="C58" s="16" t="n"/>
      <c r="D58" s="16" t="n"/>
      <c r="E58" s="17" t="n"/>
      <c r="F58" s="16" t="n"/>
      <c r="G58" s="15">
        <f>IF($C58="","",IFERROR(LOOKUP(2,1/((Reconhecimento!$A$5:$A$310&lt;&gt;"")*ISNUMBER(SEARCH(" "&amp;Reconhecimento!$A$5:$A$310," "&amp;$C58))),Reconhecimento!$B$5:$B$310),"Confira: escolha na importação"))</f>
        <v/>
      </c>
      <c r="H58" s="15">
        <f>IF($C58="","",IFERROR(LOOKUP(2,1/((Reconhecimento!$A$5:$A$310&lt;&gt;"")*ISNUMBER(SEARCH(" "&amp;Reconhecimento!$A$5:$A$310," "&amp;$C58))),Reconhecimento!$C$5:$C$310),"—"))</f>
        <v/>
      </c>
      <c r="I58" s="15">
        <f>IF($C58="","",IFERROR(VLOOKUP($G58,Tipos!$A$5:$B$51,2,FALSE),"—"))</f>
        <v/>
      </c>
      <c r="J58" s="15">
        <f>IF(COUNTA($A58:$C58)=0,"",IF($A58="","Falta a Área",IF($B58="","Falta o Setor",IF($C58="","Falta o nome",IF(COUNTIF($C$6:$C$403,$C58)&gt;1,"Nome repetido: use 01, 02… ou a Qtd",IF(LEFT($G58,7)="Confira","Confira o tipo na importação","OK"))))))</f>
        <v/>
      </c>
    </row>
    <row r="59">
      <c r="A59" s="16" t="n"/>
      <c r="B59" s="16" t="n"/>
      <c r="C59" s="16" t="n"/>
      <c r="D59" s="16" t="n"/>
      <c r="E59" s="17" t="n"/>
      <c r="F59" s="16" t="n"/>
      <c r="G59" s="15">
        <f>IF($C59="","",IFERROR(LOOKUP(2,1/((Reconhecimento!$A$5:$A$310&lt;&gt;"")*ISNUMBER(SEARCH(" "&amp;Reconhecimento!$A$5:$A$310," "&amp;$C59))),Reconhecimento!$B$5:$B$310),"Confira: escolha na importação"))</f>
        <v/>
      </c>
      <c r="H59" s="15">
        <f>IF($C59="","",IFERROR(LOOKUP(2,1/((Reconhecimento!$A$5:$A$310&lt;&gt;"")*ISNUMBER(SEARCH(" "&amp;Reconhecimento!$A$5:$A$310," "&amp;$C59))),Reconhecimento!$C$5:$C$310),"—"))</f>
        <v/>
      </c>
      <c r="I59" s="15">
        <f>IF($C59="","",IFERROR(VLOOKUP($G59,Tipos!$A$5:$B$51,2,FALSE),"—"))</f>
        <v/>
      </c>
      <c r="J59" s="15">
        <f>IF(COUNTA($A59:$C59)=0,"",IF($A59="","Falta a Área",IF($B59="","Falta o Setor",IF($C59="","Falta o nome",IF(COUNTIF($C$6:$C$403,$C59)&gt;1,"Nome repetido: use 01, 02… ou a Qtd",IF(LEFT($G59,7)="Confira","Confira o tipo na importação","OK"))))))</f>
        <v/>
      </c>
    </row>
    <row r="60">
      <c r="A60" s="16" t="n"/>
      <c r="B60" s="16" t="n"/>
      <c r="C60" s="16" t="n"/>
      <c r="D60" s="16" t="n"/>
      <c r="E60" s="17" t="n"/>
      <c r="F60" s="16" t="n"/>
      <c r="G60" s="15">
        <f>IF($C60="","",IFERROR(LOOKUP(2,1/((Reconhecimento!$A$5:$A$310&lt;&gt;"")*ISNUMBER(SEARCH(" "&amp;Reconhecimento!$A$5:$A$310," "&amp;$C60))),Reconhecimento!$B$5:$B$310),"Confira: escolha na importação"))</f>
        <v/>
      </c>
      <c r="H60" s="15">
        <f>IF($C60="","",IFERROR(LOOKUP(2,1/((Reconhecimento!$A$5:$A$310&lt;&gt;"")*ISNUMBER(SEARCH(" "&amp;Reconhecimento!$A$5:$A$310," "&amp;$C60))),Reconhecimento!$C$5:$C$310),"—"))</f>
        <v/>
      </c>
      <c r="I60" s="15">
        <f>IF($C60="","",IFERROR(VLOOKUP($G60,Tipos!$A$5:$B$51,2,FALSE),"—"))</f>
        <v/>
      </c>
      <c r="J60" s="15">
        <f>IF(COUNTA($A60:$C60)=0,"",IF($A60="","Falta a Área",IF($B60="","Falta o Setor",IF($C60="","Falta o nome",IF(COUNTIF($C$6:$C$403,$C60)&gt;1,"Nome repetido: use 01, 02… ou a Qtd",IF(LEFT($G60,7)="Confira","Confira o tipo na importação","OK"))))))</f>
        <v/>
      </c>
    </row>
    <row r="61">
      <c r="A61" s="16" t="n"/>
      <c r="B61" s="16" t="n"/>
      <c r="C61" s="16" t="n"/>
      <c r="D61" s="16" t="n"/>
      <c r="E61" s="17" t="n"/>
      <c r="F61" s="16" t="n"/>
      <c r="G61" s="15">
        <f>IF($C61="","",IFERROR(LOOKUP(2,1/((Reconhecimento!$A$5:$A$310&lt;&gt;"")*ISNUMBER(SEARCH(" "&amp;Reconhecimento!$A$5:$A$310," "&amp;$C61))),Reconhecimento!$B$5:$B$310),"Confira: escolha na importação"))</f>
        <v/>
      </c>
      <c r="H61" s="15">
        <f>IF($C61="","",IFERROR(LOOKUP(2,1/((Reconhecimento!$A$5:$A$310&lt;&gt;"")*ISNUMBER(SEARCH(" "&amp;Reconhecimento!$A$5:$A$310," "&amp;$C61))),Reconhecimento!$C$5:$C$310),"—"))</f>
        <v/>
      </c>
      <c r="I61" s="15">
        <f>IF($C61="","",IFERROR(VLOOKUP($G61,Tipos!$A$5:$B$51,2,FALSE),"—"))</f>
        <v/>
      </c>
      <c r="J61" s="15">
        <f>IF(COUNTA($A61:$C61)=0,"",IF($A61="","Falta a Área",IF($B61="","Falta o Setor",IF($C61="","Falta o nome",IF(COUNTIF($C$6:$C$403,$C61)&gt;1,"Nome repetido: use 01, 02… ou a Qtd",IF(LEFT($G61,7)="Confira","Confira o tipo na importação","OK"))))))</f>
        <v/>
      </c>
    </row>
    <row r="62">
      <c r="A62" s="16" t="n"/>
      <c r="B62" s="16" t="n"/>
      <c r="C62" s="16" t="n"/>
      <c r="D62" s="16" t="n"/>
      <c r="E62" s="17" t="n"/>
      <c r="F62" s="16" t="n"/>
      <c r="G62" s="15">
        <f>IF($C62="","",IFERROR(LOOKUP(2,1/((Reconhecimento!$A$5:$A$310&lt;&gt;"")*ISNUMBER(SEARCH(" "&amp;Reconhecimento!$A$5:$A$310," "&amp;$C62))),Reconhecimento!$B$5:$B$310),"Confira: escolha na importação"))</f>
        <v/>
      </c>
      <c r="H62" s="15">
        <f>IF($C62="","",IFERROR(LOOKUP(2,1/((Reconhecimento!$A$5:$A$310&lt;&gt;"")*ISNUMBER(SEARCH(" "&amp;Reconhecimento!$A$5:$A$310," "&amp;$C62))),Reconhecimento!$C$5:$C$310),"—"))</f>
        <v/>
      </c>
      <c r="I62" s="15">
        <f>IF($C62="","",IFERROR(VLOOKUP($G62,Tipos!$A$5:$B$51,2,FALSE),"—"))</f>
        <v/>
      </c>
      <c r="J62" s="15">
        <f>IF(COUNTA($A62:$C62)=0,"",IF($A62="","Falta a Área",IF($B62="","Falta o Setor",IF($C62="","Falta o nome",IF(COUNTIF($C$6:$C$403,$C62)&gt;1,"Nome repetido: use 01, 02… ou a Qtd",IF(LEFT($G62,7)="Confira","Confira o tipo na importação","OK"))))))</f>
        <v/>
      </c>
    </row>
    <row r="63">
      <c r="A63" s="16" t="n"/>
      <c r="B63" s="16" t="n"/>
      <c r="C63" s="16" t="n"/>
      <c r="D63" s="16" t="n"/>
      <c r="E63" s="17" t="n"/>
      <c r="F63" s="16" t="n"/>
      <c r="G63" s="15">
        <f>IF($C63="","",IFERROR(LOOKUP(2,1/((Reconhecimento!$A$5:$A$310&lt;&gt;"")*ISNUMBER(SEARCH(" "&amp;Reconhecimento!$A$5:$A$310," "&amp;$C63))),Reconhecimento!$B$5:$B$310),"Confira: escolha na importação"))</f>
        <v/>
      </c>
      <c r="H63" s="15">
        <f>IF($C63="","",IFERROR(LOOKUP(2,1/((Reconhecimento!$A$5:$A$310&lt;&gt;"")*ISNUMBER(SEARCH(" "&amp;Reconhecimento!$A$5:$A$310," "&amp;$C63))),Reconhecimento!$C$5:$C$310),"—"))</f>
        <v/>
      </c>
      <c r="I63" s="15">
        <f>IF($C63="","",IFERROR(VLOOKUP($G63,Tipos!$A$5:$B$51,2,FALSE),"—"))</f>
        <v/>
      </c>
      <c r="J63" s="15">
        <f>IF(COUNTA($A63:$C63)=0,"",IF($A63="","Falta a Área",IF($B63="","Falta o Setor",IF($C63="","Falta o nome",IF(COUNTIF($C$6:$C$403,$C63)&gt;1,"Nome repetido: use 01, 02… ou a Qtd",IF(LEFT($G63,7)="Confira","Confira o tipo na importação","OK"))))))</f>
        <v/>
      </c>
    </row>
    <row r="64">
      <c r="A64" s="16" t="n"/>
      <c r="B64" s="16" t="n"/>
      <c r="C64" s="16" t="n"/>
      <c r="D64" s="16" t="n"/>
      <c r="E64" s="17" t="n"/>
      <c r="F64" s="16" t="n"/>
      <c r="G64" s="15">
        <f>IF($C64="","",IFERROR(LOOKUP(2,1/((Reconhecimento!$A$5:$A$310&lt;&gt;"")*ISNUMBER(SEARCH(" "&amp;Reconhecimento!$A$5:$A$310," "&amp;$C64))),Reconhecimento!$B$5:$B$310),"Confira: escolha na importação"))</f>
        <v/>
      </c>
      <c r="H64" s="15">
        <f>IF($C64="","",IFERROR(LOOKUP(2,1/((Reconhecimento!$A$5:$A$310&lt;&gt;"")*ISNUMBER(SEARCH(" "&amp;Reconhecimento!$A$5:$A$310," "&amp;$C64))),Reconhecimento!$C$5:$C$310),"—"))</f>
        <v/>
      </c>
      <c r="I64" s="15">
        <f>IF($C64="","",IFERROR(VLOOKUP($G64,Tipos!$A$5:$B$51,2,FALSE),"—"))</f>
        <v/>
      </c>
      <c r="J64" s="15">
        <f>IF(COUNTA($A64:$C64)=0,"",IF($A64="","Falta a Área",IF($B64="","Falta o Setor",IF($C64="","Falta o nome",IF(COUNTIF($C$6:$C$403,$C64)&gt;1,"Nome repetido: use 01, 02… ou a Qtd",IF(LEFT($G64,7)="Confira","Confira o tipo na importação","OK"))))))</f>
        <v/>
      </c>
    </row>
    <row r="65">
      <c r="A65" s="16" t="n"/>
      <c r="B65" s="16" t="n"/>
      <c r="C65" s="16" t="n"/>
      <c r="D65" s="16" t="n"/>
      <c r="E65" s="17" t="n"/>
      <c r="F65" s="16" t="n"/>
      <c r="G65" s="15">
        <f>IF($C65="","",IFERROR(LOOKUP(2,1/((Reconhecimento!$A$5:$A$310&lt;&gt;"")*ISNUMBER(SEARCH(" "&amp;Reconhecimento!$A$5:$A$310," "&amp;$C65))),Reconhecimento!$B$5:$B$310),"Confira: escolha na importação"))</f>
        <v/>
      </c>
      <c r="H65" s="15">
        <f>IF($C65="","",IFERROR(LOOKUP(2,1/((Reconhecimento!$A$5:$A$310&lt;&gt;"")*ISNUMBER(SEARCH(" "&amp;Reconhecimento!$A$5:$A$310," "&amp;$C65))),Reconhecimento!$C$5:$C$310),"—"))</f>
        <v/>
      </c>
      <c r="I65" s="15">
        <f>IF($C65="","",IFERROR(VLOOKUP($G65,Tipos!$A$5:$B$51,2,FALSE),"—"))</f>
        <v/>
      </c>
      <c r="J65" s="15">
        <f>IF(COUNTA($A65:$C65)=0,"",IF($A65="","Falta a Área",IF($B65="","Falta o Setor",IF($C65="","Falta o nome",IF(COUNTIF($C$6:$C$403,$C65)&gt;1,"Nome repetido: use 01, 02… ou a Qtd",IF(LEFT($G65,7)="Confira","Confira o tipo na importação","OK"))))))</f>
        <v/>
      </c>
    </row>
    <row r="66">
      <c r="A66" s="16" t="n"/>
      <c r="B66" s="16" t="n"/>
      <c r="C66" s="16" t="n"/>
      <c r="D66" s="16" t="n"/>
      <c r="E66" s="17" t="n"/>
      <c r="F66" s="16" t="n"/>
      <c r="G66" s="15">
        <f>IF($C66="","",IFERROR(LOOKUP(2,1/((Reconhecimento!$A$5:$A$310&lt;&gt;"")*ISNUMBER(SEARCH(" "&amp;Reconhecimento!$A$5:$A$310," "&amp;$C66))),Reconhecimento!$B$5:$B$310),"Confira: escolha na importação"))</f>
        <v/>
      </c>
      <c r="H66" s="15">
        <f>IF($C66="","",IFERROR(LOOKUP(2,1/((Reconhecimento!$A$5:$A$310&lt;&gt;"")*ISNUMBER(SEARCH(" "&amp;Reconhecimento!$A$5:$A$310," "&amp;$C66))),Reconhecimento!$C$5:$C$310),"—"))</f>
        <v/>
      </c>
      <c r="I66" s="15">
        <f>IF($C66="","",IFERROR(VLOOKUP($G66,Tipos!$A$5:$B$51,2,FALSE),"—"))</f>
        <v/>
      </c>
      <c r="J66" s="15">
        <f>IF(COUNTA($A66:$C66)=0,"",IF($A66="","Falta a Área",IF($B66="","Falta o Setor",IF($C66="","Falta o nome",IF(COUNTIF($C$6:$C$403,$C66)&gt;1,"Nome repetido: use 01, 02… ou a Qtd",IF(LEFT($G66,7)="Confira","Confira o tipo na importação","OK"))))))</f>
        <v/>
      </c>
    </row>
    <row r="67">
      <c r="A67" s="16" t="n"/>
      <c r="B67" s="16" t="n"/>
      <c r="C67" s="16" t="n"/>
      <c r="D67" s="16" t="n"/>
      <c r="E67" s="17" t="n"/>
      <c r="F67" s="16" t="n"/>
      <c r="G67" s="15">
        <f>IF($C67="","",IFERROR(LOOKUP(2,1/((Reconhecimento!$A$5:$A$310&lt;&gt;"")*ISNUMBER(SEARCH(" "&amp;Reconhecimento!$A$5:$A$310," "&amp;$C67))),Reconhecimento!$B$5:$B$310),"Confira: escolha na importação"))</f>
        <v/>
      </c>
      <c r="H67" s="15">
        <f>IF($C67="","",IFERROR(LOOKUP(2,1/((Reconhecimento!$A$5:$A$310&lt;&gt;"")*ISNUMBER(SEARCH(" "&amp;Reconhecimento!$A$5:$A$310," "&amp;$C67))),Reconhecimento!$C$5:$C$310),"—"))</f>
        <v/>
      </c>
      <c r="I67" s="15">
        <f>IF($C67="","",IFERROR(VLOOKUP($G67,Tipos!$A$5:$B$51,2,FALSE),"—"))</f>
        <v/>
      </c>
      <c r="J67" s="15">
        <f>IF(COUNTA($A67:$C67)=0,"",IF($A67="","Falta a Área",IF($B67="","Falta o Setor",IF($C67="","Falta o nome",IF(COUNTIF($C$6:$C$403,$C67)&gt;1,"Nome repetido: use 01, 02… ou a Qtd",IF(LEFT($G67,7)="Confira","Confira o tipo na importação","OK"))))))</f>
        <v/>
      </c>
    </row>
    <row r="68">
      <c r="A68" s="16" t="n"/>
      <c r="B68" s="16" t="n"/>
      <c r="C68" s="16" t="n"/>
      <c r="D68" s="16" t="n"/>
      <c r="E68" s="17" t="n"/>
      <c r="F68" s="16" t="n"/>
      <c r="G68" s="15">
        <f>IF($C68="","",IFERROR(LOOKUP(2,1/((Reconhecimento!$A$5:$A$310&lt;&gt;"")*ISNUMBER(SEARCH(" "&amp;Reconhecimento!$A$5:$A$310," "&amp;$C68))),Reconhecimento!$B$5:$B$310),"Confira: escolha na importação"))</f>
        <v/>
      </c>
      <c r="H68" s="15">
        <f>IF($C68="","",IFERROR(LOOKUP(2,1/((Reconhecimento!$A$5:$A$310&lt;&gt;"")*ISNUMBER(SEARCH(" "&amp;Reconhecimento!$A$5:$A$310," "&amp;$C68))),Reconhecimento!$C$5:$C$310),"—"))</f>
        <v/>
      </c>
      <c r="I68" s="15">
        <f>IF($C68="","",IFERROR(VLOOKUP($G68,Tipos!$A$5:$B$51,2,FALSE),"—"))</f>
        <v/>
      </c>
      <c r="J68" s="15">
        <f>IF(COUNTA($A68:$C68)=0,"",IF($A68="","Falta a Área",IF($B68="","Falta o Setor",IF($C68="","Falta o nome",IF(COUNTIF($C$6:$C$403,$C68)&gt;1,"Nome repetido: use 01, 02… ou a Qtd",IF(LEFT($G68,7)="Confira","Confira o tipo na importação","OK"))))))</f>
        <v/>
      </c>
    </row>
    <row r="69">
      <c r="A69" s="16" t="n"/>
      <c r="B69" s="16" t="n"/>
      <c r="C69" s="16" t="n"/>
      <c r="D69" s="16" t="n"/>
      <c r="E69" s="17" t="n"/>
      <c r="F69" s="16" t="n"/>
      <c r="G69" s="15">
        <f>IF($C69="","",IFERROR(LOOKUP(2,1/((Reconhecimento!$A$5:$A$310&lt;&gt;"")*ISNUMBER(SEARCH(" "&amp;Reconhecimento!$A$5:$A$310," "&amp;$C69))),Reconhecimento!$B$5:$B$310),"Confira: escolha na importação"))</f>
        <v/>
      </c>
      <c r="H69" s="15">
        <f>IF($C69="","",IFERROR(LOOKUP(2,1/((Reconhecimento!$A$5:$A$310&lt;&gt;"")*ISNUMBER(SEARCH(" "&amp;Reconhecimento!$A$5:$A$310," "&amp;$C69))),Reconhecimento!$C$5:$C$310),"—"))</f>
        <v/>
      </c>
      <c r="I69" s="15">
        <f>IF($C69="","",IFERROR(VLOOKUP($G69,Tipos!$A$5:$B$51,2,FALSE),"—"))</f>
        <v/>
      </c>
      <c r="J69" s="15">
        <f>IF(COUNTA($A69:$C69)=0,"",IF($A69="","Falta a Área",IF($B69="","Falta o Setor",IF($C69="","Falta o nome",IF(COUNTIF($C$6:$C$403,$C69)&gt;1,"Nome repetido: use 01, 02… ou a Qtd",IF(LEFT($G69,7)="Confira","Confira o tipo na importação","OK"))))))</f>
        <v/>
      </c>
    </row>
    <row r="70">
      <c r="A70" s="16" t="n"/>
      <c r="B70" s="16" t="n"/>
      <c r="C70" s="16" t="n"/>
      <c r="D70" s="16" t="n"/>
      <c r="E70" s="17" t="n"/>
      <c r="F70" s="16" t="n"/>
      <c r="G70" s="15">
        <f>IF($C70="","",IFERROR(LOOKUP(2,1/((Reconhecimento!$A$5:$A$310&lt;&gt;"")*ISNUMBER(SEARCH(" "&amp;Reconhecimento!$A$5:$A$310," "&amp;$C70))),Reconhecimento!$B$5:$B$310),"Confira: escolha na importação"))</f>
        <v/>
      </c>
      <c r="H70" s="15">
        <f>IF($C70="","",IFERROR(LOOKUP(2,1/((Reconhecimento!$A$5:$A$310&lt;&gt;"")*ISNUMBER(SEARCH(" "&amp;Reconhecimento!$A$5:$A$310," "&amp;$C70))),Reconhecimento!$C$5:$C$310),"—"))</f>
        <v/>
      </c>
      <c r="I70" s="15">
        <f>IF($C70="","",IFERROR(VLOOKUP($G70,Tipos!$A$5:$B$51,2,FALSE),"—"))</f>
        <v/>
      </c>
      <c r="J70" s="15">
        <f>IF(COUNTA($A70:$C70)=0,"",IF($A70="","Falta a Área",IF($B70="","Falta o Setor",IF($C70="","Falta o nome",IF(COUNTIF($C$6:$C$403,$C70)&gt;1,"Nome repetido: use 01, 02… ou a Qtd",IF(LEFT($G70,7)="Confira","Confira o tipo na importação","OK"))))))</f>
        <v/>
      </c>
    </row>
    <row r="71">
      <c r="A71" s="16" t="n"/>
      <c r="B71" s="16" t="n"/>
      <c r="C71" s="16" t="n"/>
      <c r="D71" s="16" t="n"/>
      <c r="E71" s="17" t="n"/>
      <c r="F71" s="16" t="n"/>
      <c r="G71" s="15">
        <f>IF($C71="","",IFERROR(LOOKUP(2,1/((Reconhecimento!$A$5:$A$310&lt;&gt;"")*ISNUMBER(SEARCH(" "&amp;Reconhecimento!$A$5:$A$310," "&amp;$C71))),Reconhecimento!$B$5:$B$310),"Confira: escolha na importação"))</f>
        <v/>
      </c>
      <c r="H71" s="15">
        <f>IF($C71="","",IFERROR(LOOKUP(2,1/((Reconhecimento!$A$5:$A$310&lt;&gt;"")*ISNUMBER(SEARCH(" "&amp;Reconhecimento!$A$5:$A$310," "&amp;$C71))),Reconhecimento!$C$5:$C$310),"—"))</f>
        <v/>
      </c>
      <c r="I71" s="15">
        <f>IF($C71="","",IFERROR(VLOOKUP($G71,Tipos!$A$5:$B$51,2,FALSE),"—"))</f>
        <v/>
      </c>
      <c r="J71" s="15">
        <f>IF(COUNTA($A71:$C71)=0,"",IF($A71="","Falta a Área",IF($B71="","Falta o Setor",IF($C71="","Falta o nome",IF(COUNTIF($C$6:$C$403,$C71)&gt;1,"Nome repetido: use 01, 02… ou a Qtd",IF(LEFT($G71,7)="Confira","Confira o tipo na importação","OK"))))))</f>
        <v/>
      </c>
    </row>
    <row r="72">
      <c r="A72" s="16" t="n"/>
      <c r="B72" s="16" t="n"/>
      <c r="C72" s="16" t="n"/>
      <c r="D72" s="16" t="n"/>
      <c r="E72" s="17" t="n"/>
      <c r="F72" s="16" t="n"/>
      <c r="G72" s="15">
        <f>IF($C72="","",IFERROR(LOOKUP(2,1/((Reconhecimento!$A$5:$A$310&lt;&gt;"")*ISNUMBER(SEARCH(" "&amp;Reconhecimento!$A$5:$A$310," "&amp;$C72))),Reconhecimento!$B$5:$B$310),"Confira: escolha na importação"))</f>
        <v/>
      </c>
      <c r="H72" s="15">
        <f>IF($C72="","",IFERROR(LOOKUP(2,1/((Reconhecimento!$A$5:$A$310&lt;&gt;"")*ISNUMBER(SEARCH(" "&amp;Reconhecimento!$A$5:$A$310," "&amp;$C72))),Reconhecimento!$C$5:$C$310),"—"))</f>
        <v/>
      </c>
      <c r="I72" s="15">
        <f>IF($C72="","",IFERROR(VLOOKUP($G72,Tipos!$A$5:$B$51,2,FALSE),"—"))</f>
        <v/>
      </c>
      <c r="J72" s="15">
        <f>IF(COUNTA($A72:$C72)=0,"",IF($A72="","Falta a Área",IF($B72="","Falta o Setor",IF($C72="","Falta o nome",IF(COUNTIF($C$6:$C$403,$C72)&gt;1,"Nome repetido: use 01, 02… ou a Qtd",IF(LEFT($G72,7)="Confira","Confira o tipo na importação","OK"))))))</f>
        <v/>
      </c>
    </row>
    <row r="73">
      <c r="A73" s="16" t="n"/>
      <c r="B73" s="16" t="n"/>
      <c r="C73" s="16" t="n"/>
      <c r="D73" s="16" t="n"/>
      <c r="E73" s="17" t="n"/>
      <c r="F73" s="16" t="n"/>
      <c r="G73" s="15">
        <f>IF($C73="","",IFERROR(LOOKUP(2,1/((Reconhecimento!$A$5:$A$310&lt;&gt;"")*ISNUMBER(SEARCH(" "&amp;Reconhecimento!$A$5:$A$310," "&amp;$C73))),Reconhecimento!$B$5:$B$310),"Confira: escolha na importação"))</f>
        <v/>
      </c>
      <c r="H73" s="15">
        <f>IF($C73="","",IFERROR(LOOKUP(2,1/((Reconhecimento!$A$5:$A$310&lt;&gt;"")*ISNUMBER(SEARCH(" "&amp;Reconhecimento!$A$5:$A$310," "&amp;$C73))),Reconhecimento!$C$5:$C$310),"—"))</f>
        <v/>
      </c>
      <c r="I73" s="15">
        <f>IF($C73="","",IFERROR(VLOOKUP($G73,Tipos!$A$5:$B$51,2,FALSE),"—"))</f>
        <v/>
      </c>
      <c r="J73" s="15">
        <f>IF(COUNTA($A73:$C73)=0,"",IF($A73="","Falta a Área",IF($B73="","Falta o Setor",IF($C73="","Falta o nome",IF(COUNTIF($C$6:$C$403,$C73)&gt;1,"Nome repetido: use 01, 02… ou a Qtd",IF(LEFT($G73,7)="Confira","Confira o tipo na importação","OK"))))))</f>
        <v/>
      </c>
    </row>
    <row r="74">
      <c r="A74" s="16" t="n"/>
      <c r="B74" s="16" t="n"/>
      <c r="C74" s="16" t="n"/>
      <c r="D74" s="16" t="n"/>
      <c r="E74" s="17" t="n"/>
      <c r="F74" s="16" t="n"/>
      <c r="G74" s="15">
        <f>IF($C74="","",IFERROR(LOOKUP(2,1/((Reconhecimento!$A$5:$A$310&lt;&gt;"")*ISNUMBER(SEARCH(" "&amp;Reconhecimento!$A$5:$A$310," "&amp;$C74))),Reconhecimento!$B$5:$B$310),"Confira: escolha na importação"))</f>
        <v/>
      </c>
      <c r="H74" s="15">
        <f>IF($C74="","",IFERROR(LOOKUP(2,1/((Reconhecimento!$A$5:$A$310&lt;&gt;"")*ISNUMBER(SEARCH(" "&amp;Reconhecimento!$A$5:$A$310," "&amp;$C74))),Reconhecimento!$C$5:$C$310),"—"))</f>
        <v/>
      </c>
      <c r="I74" s="15">
        <f>IF($C74="","",IFERROR(VLOOKUP($G74,Tipos!$A$5:$B$51,2,FALSE),"—"))</f>
        <v/>
      </c>
      <c r="J74" s="15">
        <f>IF(COUNTA($A74:$C74)=0,"",IF($A74="","Falta a Área",IF($B74="","Falta o Setor",IF($C74="","Falta o nome",IF(COUNTIF($C$6:$C$403,$C74)&gt;1,"Nome repetido: use 01, 02… ou a Qtd",IF(LEFT($G74,7)="Confira","Confira o tipo na importação","OK"))))))</f>
        <v/>
      </c>
    </row>
    <row r="75">
      <c r="A75" s="16" t="n"/>
      <c r="B75" s="16" t="n"/>
      <c r="C75" s="16" t="n"/>
      <c r="D75" s="16" t="n"/>
      <c r="E75" s="17" t="n"/>
      <c r="F75" s="16" t="n"/>
      <c r="G75" s="15">
        <f>IF($C75="","",IFERROR(LOOKUP(2,1/((Reconhecimento!$A$5:$A$310&lt;&gt;"")*ISNUMBER(SEARCH(" "&amp;Reconhecimento!$A$5:$A$310," "&amp;$C75))),Reconhecimento!$B$5:$B$310),"Confira: escolha na importação"))</f>
        <v/>
      </c>
      <c r="H75" s="15">
        <f>IF($C75="","",IFERROR(LOOKUP(2,1/((Reconhecimento!$A$5:$A$310&lt;&gt;"")*ISNUMBER(SEARCH(" "&amp;Reconhecimento!$A$5:$A$310," "&amp;$C75))),Reconhecimento!$C$5:$C$310),"—"))</f>
        <v/>
      </c>
      <c r="I75" s="15">
        <f>IF($C75="","",IFERROR(VLOOKUP($G75,Tipos!$A$5:$B$51,2,FALSE),"—"))</f>
        <v/>
      </c>
      <c r="J75" s="15">
        <f>IF(COUNTA($A75:$C75)=0,"",IF($A75="","Falta a Área",IF($B75="","Falta o Setor",IF($C75="","Falta o nome",IF(COUNTIF($C$6:$C$403,$C75)&gt;1,"Nome repetido: use 01, 02… ou a Qtd",IF(LEFT($G75,7)="Confira","Confira o tipo na importação","OK"))))))</f>
        <v/>
      </c>
    </row>
    <row r="76">
      <c r="A76" s="16" t="n"/>
      <c r="B76" s="16" t="n"/>
      <c r="C76" s="16" t="n"/>
      <c r="D76" s="16" t="n"/>
      <c r="E76" s="17" t="n"/>
      <c r="F76" s="16" t="n"/>
      <c r="G76" s="15">
        <f>IF($C76="","",IFERROR(LOOKUP(2,1/((Reconhecimento!$A$5:$A$310&lt;&gt;"")*ISNUMBER(SEARCH(" "&amp;Reconhecimento!$A$5:$A$310," "&amp;$C76))),Reconhecimento!$B$5:$B$310),"Confira: escolha na importação"))</f>
        <v/>
      </c>
      <c r="H76" s="15">
        <f>IF($C76="","",IFERROR(LOOKUP(2,1/((Reconhecimento!$A$5:$A$310&lt;&gt;"")*ISNUMBER(SEARCH(" "&amp;Reconhecimento!$A$5:$A$310," "&amp;$C76))),Reconhecimento!$C$5:$C$310),"—"))</f>
        <v/>
      </c>
      <c r="I76" s="15">
        <f>IF($C76="","",IFERROR(VLOOKUP($G76,Tipos!$A$5:$B$51,2,FALSE),"—"))</f>
        <v/>
      </c>
      <c r="J76" s="15">
        <f>IF(COUNTA($A76:$C76)=0,"",IF($A76="","Falta a Área",IF($B76="","Falta o Setor",IF($C76="","Falta o nome",IF(COUNTIF($C$6:$C$403,$C76)&gt;1,"Nome repetido: use 01, 02… ou a Qtd",IF(LEFT($G76,7)="Confira","Confira o tipo na importação","OK"))))))</f>
        <v/>
      </c>
    </row>
    <row r="77">
      <c r="A77" s="16" t="n"/>
      <c r="B77" s="16" t="n"/>
      <c r="C77" s="16" t="n"/>
      <c r="D77" s="16" t="n"/>
      <c r="E77" s="17" t="n"/>
      <c r="F77" s="16" t="n"/>
      <c r="G77" s="15">
        <f>IF($C77="","",IFERROR(LOOKUP(2,1/((Reconhecimento!$A$5:$A$310&lt;&gt;"")*ISNUMBER(SEARCH(" "&amp;Reconhecimento!$A$5:$A$310," "&amp;$C77))),Reconhecimento!$B$5:$B$310),"Confira: escolha na importação"))</f>
        <v/>
      </c>
      <c r="H77" s="15">
        <f>IF($C77="","",IFERROR(LOOKUP(2,1/((Reconhecimento!$A$5:$A$310&lt;&gt;"")*ISNUMBER(SEARCH(" "&amp;Reconhecimento!$A$5:$A$310," "&amp;$C77))),Reconhecimento!$C$5:$C$310),"—"))</f>
        <v/>
      </c>
      <c r="I77" s="15">
        <f>IF($C77="","",IFERROR(VLOOKUP($G77,Tipos!$A$5:$B$51,2,FALSE),"—"))</f>
        <v/>
      </c>
      <c r="J77" s="15">
        <f>IF(COUNTA($A77:$C77)=0,"",IF($A77="","Falta a Área",IF($B77="","Falta o Setor",IF($C77="","Falta o nome",IF(COUNTIF($C$6:$C$403,$C77)&gt;1,"Nome repetido: use 01, 02… ou a Qtd",IF(LEFT($G77,7)="Confira","Confira o tipo na importação","OK"))))))</f>
        <v/>
      </c>
    </row>
    <row r="78">
      <c r="A78" s="16" t="n"/>
      <c r="B78" s="16" t="n"/>
      <c r="C78" s="16" t="n"/>
      <c r="D78" s="16" t="n"/>
      <c r="E78" s="17" t="n"/>
      <c r="F78" s="16" t="n"/>
      <c r="G78" s="15">
        <f>IF($C78="","",IFERROR(LOOKUP(2,1/((Reconhecimento!$A$5:$A$310&lt;&gt;"")*ISNUMBER(SEARCH(" "&amp;Reconhecimento!$A$5:$A$310," "&amp;$C78))),Reconhecimento!$B$5:$B$310),"Confira: escolha na importação"))</f>
        <v/>
      </c>
      <c r="H78" s="15">
        <f>IF($C78="","",IFERROR(LOOKUP(2,1/((Reconhecimento!$A$5:$A$310&lt;&gt;"")*ISNUMBER(SEARCH(" "&amp;Reconhecimento!$A$5:$A$310," "&amp;$C78))),Reconhecimento!$C$5:$C$310),"—"))</f>
        <v/>
      </c>
      <c r="I78" s="15">
        <f>IF($C78="","",IFERROR(VLOOKUP($G78,Tipos!$A$5:$B$51,2,FALSE),"—"))</f>
        <v/>
      </c>
      <c r="J78" s="15">
        <f>IF(COUNTA($A78:$C78)=0,"",IF($A78="","Falta a Área",IF($B78="","Falta o Setor",IF($C78="","Falta o nome",IF(COUNTIF($C$6:$C$403,$C78)&gt;1,"Nome repetido: use 01, 02… ou a Qtd",IF(LEFT($G78,7)="Confira","Confira o tipo na importação","OK"))))))</f>
        <v/>
      </c>
    </row>
    <row r="79">
      <c r="A79" s="16" t="n"/>
      <c r="B79" s="16" t="n"/>
      <c r="C79" s="16" t="n"/>
      <c r="D79" s="16" t="n"/>
      <c r="E79" s="17" t="n"/>
      <c r="F79" s="16" t="n"/>
      <c r="G79" s="15">
        <f>IF($C79="","",IFERROR(LOOKUP(2,1/((Reconhecimento!$A$5:$A$310&lt;&gt;"")*ISNUMBER(SEARCH(" "&amp;Reconhecimento!$A$5:$A$310," "&amp;$C79))),Reconhecimento!$B$5:$B$310),"Confira: escolha na importação"))</f>
        <v/>
      </c>
      <c r="H79" s="15">
        <f>IF($C79="","",IFERROR(LOOKUP(2,1/((Reconhecimento!$A$5:$A$310&lt;&gt;"")*ISNUMBER(SEARCH(" "&amp;Reconhecimento!$A$5:$A$310," "&amp;$C79))),Reconhecimento!$C$5:$C$310),"—"))</f>
        <v/>
      </c>
      <c r="I79" s="15">
        <f>IF($C79="","",IFERROR(VLOOKUP($G79,Tipos!$A$5:$B$51,2,FALSE),"—"))</f>
        <v/>
      </c>
      <c r="J79" s="15">
        <f>IF(COUNTA($A79:$C79)=0,"",IF($A79="","Falta a Área",IF($B79="","Falta o Setor",IF($C79="","Falta o nome",IF(COUNTIF($C$6:$C$403,$C79)&gt;1,"Nome repetido: use 01, 02… ou a Qtd",IF(LEFT($G79,7)="Confira","Confira o tipo na importação","OK"))))))</f>
        <v/>
      </c>
    </row>
    <row r="80">
      <c r="A80" s="16" t="n"/>
      <c r="B80" s="16" t="n"/>
      <c r="C80" s="16" t="n"/>
      <c r="D80" s="16" t="n"/>
      <c r="E80" s="17" t="n"/>
      <c r="F80" s="16" t="n"/>
      <c r="G80" s="15">
        <f>IF($C80="","",IFERROR(LOOKUP(2,1/((Reconhecimento!$A$5:$A$310&lt;&gt;"")*ISNUMBER(SEARCH(" "&amp;Reconhecimento!$A$5:$A$310," "&amp;$C80))),Reconhecimento!$B$5:$B$310),"Confira: escolha na importação"))</f>
        <v/>
      </c>
      <c r="H80" s="15">
        <f>IF($C80="","",IFERROR(LOOKUP(2,1/((Reconhecimento!$A$5:$A$310&lt;&gt;"")*ISNUMBER(SEARCH(" "&amp;Reconhecimento!$A$5:$A$310," "&amp;$C80))),Reconhecimento!$C$5:$C$310),"—"))</f>
        <v/>
      </c>
      <c r="I80" s="15">
        <f>IF($C80="","",IFERROR(VLOOKUP($G80,Tipos!$A$5:$B$51,2,FALSE),"—"))</f>
        <v/>
      </c>
      <c r="J80" s="15">
        <f>IF(COUNTA($A80:$C80)=0,"",IF($A80="","Falta a Área",IF($B80="","Falta o Setor",IF($C80="","Falta o nome",IF(COUNTIF($C$6:$C$403,$C80)&gt;1,"Nome repetido: use 01, 02… ou a Qtd",IF(LEFT($G80,7)="Confira","Confira o tipo na importação","OK"))))))</f>
        <v/>
      </c>
    </row>
    <row r="81">
      <c r="A81" s="16" t="n"/>
      <c r="B81" s="16" t="n"/>
      <c r="C81" s="16" t="n"/>
      <c r="D81" s="16" t="n"/>
      <c r="E81" s="17" t="n"/>
      <c r="F81" s="16" t="n"/>
      <c r="G81" s="15">
        <f>IF($C81="","",IFERROR(LOOKUP(2,1/((Reconhecimento!$A$5:$A$310&lt;&gt;"")*ISNUMBER(SEARCH(" "&amp;Reconhecimento!$A$5:$A$310," "&amp;$C81))),Reconhecimento!$B$5:$B$310),"Confira: escolha na importação"))</f>
        <v/>
      </c>
      <c r="H81" s="15">
        <f>IF($C81="","",IFERROR(LOOKUP(2,1/((Reconhecimento!$A$5:$A$310&lt;&gt;"")*ISNUMBER(SEARCH(" "&amp;Reconhecimento!$A$5:$A$310," "&amp;$C81))),Reconhecimento!$C$5:$C$310),"—"))</f>
        <v/>
      </c>
      <c r="I81" s="15">
        <f>IF($C81="","",IFERROR(VLOOKUP($G81,Tipos!$A$5:$B$51,2,FALSE),"—"))</f>
        <v/>
      </c>
      <c r="J81" s="15">
        <f>IF(COUNTA($A81:$C81)=0,"",IF($A81="","Falta a Área",IF($B81="","Falta o Setor",IF($C81="","Falta o nome",IF(COUNTIF($C$6:$C$403,$C81)&gt;1,"Nome repetido: use 01, 02… ou a Qtd",IF(LEFT($G81,7)="Confira","Confira o tipo na importação","OK"))))))</f>
        <v/>
      </c>
    </row>
    <row r="82">
      <c r="A82" s="16" t="n"/>
      <c r="B82" s="16" t="n"/>
      <c r="C82" s="16" t="n"/>
      <c r="D82" s="16" t="n"/>
      <c r="E82" s="17" t="n"/>
      <c r="F82" s="16" t="n"/>
      <c r="G82" s="15">
        <f>IF($C82="","",IFERROR(LOOKUP(2,1/((Reconhecimento!$A$5:$A$310&lt;&gt;"")*ISNUMBER(SEARCH(" "&amp;Reconhecimento!$A$5:$A$310," "&amp;$C82))),Reconhecimento!$B$5:$B$310),"Confira: escolha na importação"))</f>
        <v/>
      </c>
      <c r="H82" s="15">
        <f>IF($C82="","",IFERROR(LOOKUP(2,1/((Reconhecimento!$A$5:$A$310&lt;&gt;"")*ISNUMBER(SEARCH(" "&amp;Reconhecimento!$A$5:$A$310," "&amp;$C82))),Reconhecimento!$C$5:$C$310),"—"))</f>
        <v/>
      </c>
      <c r="I82" s="15">
        <f>IF($C82="","",IFERROR(VLOOKUP($G82,Tipos!$A$5:$B$51,2,FALSE),"—"))</f>
        <v/>
      </c>
      <c r="J82" s="15">
        <f>IF(COUNTA($A82:$C82)=0,"",IF($A82="","Falta a Área",IF($B82="","Falta o Setor",IF($C82="","Falta o nome",IF(COUNTIF($C$6:$C$403,$C82)&gt;1,"Nome repetido: use 01, 02… ou a Qtd",IF(LEFT($G82,7)="Confira","Confira o tipo na importação","OK"))))))</f>
        <v/>
      </c>
    </row>
    <row r="83">
      <c r="A83" s="16" t="n"/>
      <c r="B83" s="16" t="n"/>
      <c r="C83" s="16" t="n"/>
      <c r="D83" s="16" t="n"/>
      <c r="E83" s="17" t="n"/>
      <c r="F83" s="16" t="n"/>
      <c r="G83" s="15">
        <f>IF($C83="","",IFERROR(LOOKUP(2,1/((Reconhecimento!$A$5:$A$310&lt;&gt;"")*ISNUMBER(SEARCH(" "&amp;Reconhecimento!$A$5:$A$310," "&amp;$C83))),Reconhecimento!$B$5:$B$310),"Confira: escolha na importação"))</f>
        <v/>
      </c>
      <c r="H83" s="15">
        <f>IF($C83="","",IFERROR(LOOKUP(2,1/((Reconhecimento!$A$5:$A$310&lt;&gt;"")*ISNUMBER(SEARCH(" "&amp;Reconhecimento!$A$5:$A$310," "&amp;$C83))),Reconhecimento!$C$5:$C$310),"—"))</f>
        <v/>
      </c>
      <c r="I83" s="15">
        <f>IF($C83="","",IFERROR(VLOOKUP($G83,Tipos!$A$5:$B$51,2,FALSE),"—"))</f>
        <v/>
      </c>
      <c r="J83" s="15">
        <f>IF(COUNTA($A83:$C83)=0,"",IF($A83="","Falta a Área",IF($B83="","Falta o Setor",IF($C83="","Falta o nome",IF(COUNTIF($C$6:$C$403,$C83)&gt;1,"Nome repetido: use 01, 02… ou a Qtd",IF(LEFT($G83,7)="Confira","Confira o tipo na importação","OK"))))))</f>
        <v/>
      </c>
    </row>
    <row r="84">
      <c r="A84" s="16" t="n"/>
      <c r="B84" s="16" t="n"/>
      <c r="C84" s="16" t="n"/>
      <c r="D84" s="16" t="n"/>
      <c r="E84" s="17" t="n"/>
      <c r="F84" s="16" t="n"/>
      <c r="G84" s="15">
        <f>IF($C84="","",IFERROR(LOOKUP(2,1/((Reconhecimento!$A$5:$A$310&lt;&gt;"")*ISNUMBER(SEARCH(" "&amp;Reconhecimento!$A$5:$A$310," "&amp;$C84))),Reconhecimento!$B$5:$B$310),"Confira: escolha na importação"))</f>
        <v/>
      </c>
      <c r="H84" s="15">
        <f>IF($C84="","",IFERROR(LOOKUP(2,1/((Reconhecimento!$A$5:$A$310&lt;&gt;"")*ISNUMBER(SEARCH(" "&amp;Reconhecimento!$A$5:$A$310," "&amp;$C84))),Reconhecimento!$C$5:$C$310),"—"))</f>
        <v/>
      </c>
      <c r="I84" s="15">
        <f>IF($C84="","",IFERROR(VLOOKUP($G84,Tipos!$A$5:$B$51,2,FALSE),"—"))</f>
        <v/>
      </c>
      <c r="J84" s="15">
        <f>IF(COUNTA($A84:$C84)=0,"",IF($A84="","Falta a Área",IF($B84="","Falta o Setor",IF($C84="","Falta o nome",IF(COUNTIF($C$6:$C$403,$C84)&gt;1,"Nome repetido: use 01, 02… ou a Qtd",IF(LEFT($G84,7)="Confira","Confira o tipo na importação","OK"))))))</f>
        <v/>
      </c>
    </row>
    <row r="85">
      <c r="A85" s="16" t="n"/>
      <c r="B85" s="16" t="n"/>
      <c r="C85" s="16" t="n"/>
      <c r="D85" s="16" t="n"/>
      <c r="E85" s="17" t="n"/>
      <c r="F85" s="16" t="n"/>
      <c r="G85" s="15">
        <f>IF($C85="","",IFERROR(LOOKUP(2,1/((Reconhecimento!$A$5:$A$310&lt;&gt;"")*ISNUMBER(SEARCH(" "&amp;Reconhecimento!$A$5:$A$310," "&amp;$C85))),Reconhecimento!$B$5:$B$310),"Confira: escolha na importação"))</f>
        <v/>
      </c>
      <c r="H85" s="15">
        <f>IF($C85="","",IFERROR(LOOKUP(2,1/((Reconhecimento!$A$5:$A$310&lt;&gt;"")*ISNUMBER(SEARCH(" "&amp;Reconhecimento!$A$5:$A$310," "&amp;$C85))),Reconhecimento!$C$5:$C$310),"—"))</f>
        <v/>
      </c>
      <c r="I85" s="15">
        <f>IF($C85="","",IFERROR(VLOOKUP($G85,Tipos!$A$5:$B$51,2,FALSE),"—"))</f>
        <v/>
      </c>
      <c r="J85" s="15">
        <f>IF(COUNTA($A85:$C85)=0,"",IF($A85="","Falta a Área",IF($B85="","Falta o Setor",IF($C85="","Falta o nome",IF(COUNTIF($C$6:$C$403,$C85)&gt;1,"Nome repetido: use 01, 02… ou a Qtd",IF(LEFT($G85,7)="Confira","Confira o tipo na importação","OK"))))))</f>
        <v/>
      </c>
    </row>
    <row r="86">
      <c r="A86" s="16" t="n"/>
      <c r="B86" s="16" t="n"/>
      <c r="C86" s="16" t="n"/>
      <c r="D86" s="16" t="n"/>
      <c r="E86" s="17" t="n"/>
      <c r="F86" s="16" t="n"/>
      <c r="G86" s="15">
        <f>IF($C86="","",IFERROR(LOOKUP(2,1/((Reconhecimento!$A$5:$A$310&lt;&gt;"")*ISNUMBER(SEARCH(" "&amp;Reconhecimento!$A$5:$A$310," "&amp;$C86))),Reconhecimento!$B$5:$B$310),"Confira: escolha na importação"))</f>
        <v/>
      </c>
      <c r="H86" s="15">
        <f>IF($C86="","",IFERROR(LOOKUP(2,1/((Reconhecimento!$A$5:$A$310&lt;&gt;"")*ISNUMBER(SEARCH(" "&amp;Reconhecimento!$A$5:$A$310," "&amp;$C86))),Reconhecimento!$C$5:$C$310),"—"))</f>
        <v/>
      </c>
      <c r="I86" s="15">
        <f>IF($C86="","",IFERROR(VLOOKUP($G86,Tipos!$A$5:$B$51,2,FALSE),"—"))</f>
        <v/>
      </c>
      <c r="J86" s="15">
        <f>IF(COUNTA($A86:$C86)=0,"",IF($A86="","Falta a Área",IF($B86="","Falta o Setor",IF($C86="","Falta o nome",IF(COUNTIF($C$6:$C$403,$C86)&gt;1,"Nome repetido: use 01, 02… ou a Qtd",IF(LEFT($G86,7)="Confira","Confira o tipo na importação","OK"))))))</f>
        <v/>
      </c>
    </row>
    <row r="87">
      <c r="A87" s="16" t="n"/>
      <c r="B87" s="16" t="n"/>
      <c r="C87" s="16" t="n"/>
      <c r="D87" s="16" t="n"/>
      <c r="E87" s="17" t="n"/>
      <c r="F87" s="16" t="n"/>
      <c r="G87" s="15">
        <f>IF($C87="","",IFERROR(LOOKUP(2,1/((Reconhecimento!$A$5:$A$310&lt;&gt;"")*ISNUMBER(SEARCH(" "&amp;Reconhecimento!$A$5:$A$310," "&amp;$C87))),Reconhecimento!$B$5:$B$310),"Confira: escolha na importação"))</f>
        <v/>
      </c>
      <c r="H87" s="15">
        <f>IF($C87="","",IFERROR(LOOKUP(2,1/((Reconhecimento!$A$5:$A$310&lt;&gt;"")*ISNUMBER(SEARCH(" "&amp;Reconhecimento!$A$5:$A$310," "&amp;$C87))),Reconhecimento!$C$5:$C$310),"—"))</f>
        <v/>
      </c>
      <c r="I87" s="15">
        <f>IF($C87="","",IFERROR(VLOOKUP($G87,Tipos!$A$5:$B$51,2,FALSE),"—"))</f>
        <v/>
      </c>
      <c r="J87" s="15">
        <f>IF(COUNTA($A87:$C87)=0,"",IF($A87="","Falta a Área",IF($B87="","Falta o Setor",IF($C87="","Falta o nome",IF(COUNTIF($C$6:$C$403,$C87)&gt;1,"Nome repetido: use 01, 02… ou a Qtd",IF(LEFT($G87,7)="Confira","Confira o tipo na importação","OK"))))))</f>
        <v/>
      </c>
    </row>
    <row r="88">
      <c r="A88" s="16" t="n"/>
      <c r="B88" s="16" t="n"/>
      <c r="C88" s="16" t="n"/>
      <c r="D88" s="16" t="n"/>
      <c r="E88" s="17" t="n"/>
      <c r="F88" s="16" t="n"/>
      <c r="G88" s="15">
        <f>IF($C88="","",IFERROR(LOOKUP(2,1/((Reconhecimento!$A$5:$A$310&lt;&gt;"")*ISNUMBER(SEARCH(" "&amp;Reconhecimento!$A$5:$A$310," "&amp;$C88))),Reconhecimento!$B$5:$B$310),"Confira: escolha na importação"))</f>
        <v/>
      </c>
      <c r="H88" s="15">
        <f>IF($C88="","",IFERROR(LOOKUP(2,1/((Reconhecimento!$A$5:$A$310&lt;&gt;"")*ISNUMBER(SEARCH(" "&amp;Reconhecimento!$A$5:$A$310," "&amp;$C88))),Reconhecimento!$C$5:$C$310),"—"))</f>
        <v/>
      </c>
      <c r="I88" s="15">
        <f>IF($C88="","",IFERROR(VLOOKUP($G88,Tipos!$A$5:$B$51,2,FALSE),"—"))</f>
        <v/>
      </c>
      <c r="J88" s="15">
        <f>IF(COUNTA($A88:$C88)=0,"",IF($A88="","Falta a Área",IF($B88="","Falta o Setor",IF($C88="","Falta o nome",IF(COUNTIF($C$6:$C$403,$C88)&gt;1,"Nome repetido: use 01, 02… ou a Qtd",IF(LEFT($G88,7)="Confira","Confira o tipo na importação","OK"))))))</f>
        <v/>
      </c>
    </row>
    <row r="89">
      <c r="A89" s="16" t="n"/>
      <c r="B89" s="16" t="n"/>
      <c r="C89" s="16" t="n"/>
      <c r="D89" s="16" t="n"/>
      <c r="E89" s="17" t="n"/>
      <c r="F89" s="16" t="n"/>
      <c r="G89" s="15">
        <f>IF($C89="","",IFERROR(LOOKUP(2,1/((Reconhecimento!$A$5:$A$310&lt;&gt;"")*ISNUMBER(SEARCH(" "&amp;Reconhecimento!$A$5:$A$310," "&amp;$C89))),Reconhecimento!$B$5:$B$310),"Confira: escolha na importação"))</f>
        <v/>
      </c>
      <c r="H89" s="15">
        <f>IF($C89="","",IFERROR(LOOKUP(2,1/((Reconhecimento!$A$5:$A$310&lt;&gt;"")*ISNUMBER(SEARCH(" "&amp;Reconhecimento!$A$5:$A$310," "&amp;$C89))),Reconhecimento!$C$5:$C$310),"—"))</f>
        <v/>
      </c>
      <c r="I89" s="15">
        <f>IF($C89="","",IFERROR(VLOOKUP($G89,Tipos!$A$5:$B$51,2,FALSE),"—"))</f>
        <v/>
      </c>
      <c r="J89" s="15">
        <f>IF(COUNTA($A89:$C89)=0,"",IF($A89="","Falta a Área",IF($B89="","Falta o Setor",IF($C89="","Falta o nome",IF(COUNTIF($C$6:$C$403,$C89)&gt;1,"Nome repetido: use 01, 02… ou a Qtd",IF(LEFT($G89,7)="Confira","Confira o tipo na importação","OK"))))))</f>
        <v/>
      </c>
    </row>
    <row r="90">
      <c r="A90" s="16" t="n"/>
      <c r="B90" s="16" t="n"/>
      <c r="C90" s="16" t="n"/>
      <c r="D90" s="16" t="n"/>
      <c r="E90" s="17" t="n"/>
      <c r="F90" s="16" t="n"/>
      <c r="G90" s="15">
        <f>IF($C90="","",IFERROR(LOOKUP(2,1/((Reconhecimento!$A$5:$A$310&lt;&gt;"")*ISNUMBER(SEARCH(" "&amp;Reconhecimento!$A$5:$A$310," "&amp;$C90))),Reconhecimento!$B$5:$B$310),"Confira: escolha na importação"))</f>
        <v/>
      </c>
      <c r="H90" s="15">
        <f>IF($C90="","",IFERROR(LOOKUP(2,1/((Reconhecimento!$A$5:$A$310&lt;&gt;"")*ISNUMBER(SEARCH(" "&amp;Reconhecimento!$A$5:$A$310," "&amp;$C90))),Reconhecimento!$C$5:$C$310),"—"))</f>
        <v/>
      </c>
      <c r="I90" s="15">
        <f>IF($C90="","",IFERROR(VLOOKUP($G90,Tipos!$A$5:$B$51,2,FALSE),"—"))</f>
        <v/>
      </c>
      <c r="J90" s="15">
        <f>IF(COUNTA($A90:$C90)=0,"",IF($A90="","Falta a Área",IF($B90="","Falta o Setor",IF($C90="","Falta o nome",IF(COUNTIF($C$6:$C$403,$C90)&gt;1,"Nome repetido: use 01, 02… ou a Qtd",IF(LEFT($G90,7)="Confira","Confira o tipo na importação","OK"))))))</f>
        <v/>
      </c>
    </row>
    <row r="91">
      <c r="A91" s="16" t="n"/>
      <c r="B91" s="16" t="n"/>
      <c r="C91" s="16" t="n"/>
      <c r="D91" s="16" t="n"/>
      <c r="E91" s="17" t="n"/>
      <c r="F91" s="16" t="n"/>
      <c r="G91" s="15">
        <f>IF($C91="","",IFERROR(LOOKUP(2,1/((Reconhecimento!$A$5:$A$310&lt;&gt;"")*ISNUMBER(SEARCH(" "&amp;Reconhecimento!$A$5:$A$310," "&amp;$C91))),Reconhecimento!$B$5:$B$310),"Confira: escolha na importação"))</f>
        <v/>
      </c>
      <c r="H91" s="15">
        <f>IF($C91="","",IFERROR(LOOKUP(2,1/((Reconhecimento!$A$5:$A$310&lt;&gt;"")*ISNUMBER(SEARCH(" "&amp;Reconhecimento!$A$5:$A$310," "&amp;$C91))),Reconhecimento!$C$5:$C$310),"—"))</f>
        <v/>
      </c>
      <c r="I91" s="15">
        <f>IF($C91="","",IFERROR(VLOOKUP($G91,Tipos!$A$5:$B$51,2,FALSE),"—"))</f>
        <v/>
      </c>
      <c r="J91" s="15">
        <f>IF(COUNTA($A91:$C91)=0,"",IF($A91="","Falta a Área",IF($B91="","Falta o Setor",IF($C91="","Falta o nome",IF(COUNTIF($C$6:$C$403,$C91)&gt;1,"Nome repetido: use 01, 02… ou a Qtd",IF(LEFT($G91,7)="Confira","Confira o tipo na importação","OK"))))))</f>
        <v/>
      </c>
    </row>
    <row r="92">
      <c r="A92" s="16" t="n"/>
      <c r="B92" s="16" t="n"/>
      <c r="C92" s="16" t="n"/>
      <c r="D92" s="16" t="n"/>
      <c r="E92" s="17" t="n"/>
      <c r="F92" s="16" t="n"/>
      <c r="G92" s="15">
        <f>IF($C92="","",IFERROR(LOOKUP(2,1/((Reconhecimento!$A$5:$A$310&lt;&gt;"")*ISNUMBER(SEARCH(" "&amp;Reconhecimento!$A$5:$A$310," "&amp;$C92))),Reconhecimento!$B$5:$B$310),"Confira: escolha na importação"))</f>
        <v/>
      </c>
      <c r="H92" s="15">
        <f>IF($C92="","",IFERROR(LOOKUP(2,1/((Reconhecimento!$A$5:$A$310&lt;&gt;"")*ISNUMBER(SEARCH(" "&amp;Reconhecimento!$A$5:$A$310," "&amp;$C92))),Reconhecimento!$C$5:$C$310),"—"))</f>
        <v/>
      </c>
      <c r="I92" s="15">
        <f>IF($C92="","",IFERROR(VLOOKUP($G92,Tipos!$A$5:$B$51,2,FALSE),"—"))</f>
        <v/>
      </c>
      <c r="J92" s="15">
        <f>IF(COUNTA($A92:$C92)=0,"",IF($A92="","Falta a Área",IF($B92="","Falta o Setor",IF($C92="","Falta o nome",IF(COUNTIF($C$6:$C$403,$C92)&gt;1,"Nome repetido: use 01, 02… ou a Qtd",IF(LEFT($G92,7)="Confira","Confira o tipo na importação","OK"))))))</f>
        <v/>
      </c>
    </row>
    <row r="93">
      <c r="A93" s="16" t="n"/>
      <c r="B93" s="16" t="n"/>
      <c r="C93" s="16" t="n"/>
      <c r="D93" s="16" t="n"/>
      <c r="E93" s="17" t="n"/>
      <c r="F93" s="16" t="n"/>
      <c r="G93" s="15">
        <f>IF($C93="","",IFERROR(LOOKUP(2,1/((Reconhecimento!$A$5:$A$310&lt;&gt;"")*ISNUMBER(SEARCH(" "&amp;Reconhecimento!$A$5:$A$310," "&amp;$C93))),Reconhecimento!$B$5:$B$310),"Confira: escolha na importação"))</f>
        <v/>
      </c>
      <c r="H93" s="15">
        <f>IF($C93="","",IFERROR(LOOKUP(2,1/((Reconhecimento!$A$5:$A$310&lt;&gt;"")*ISNUMBER(SEARCH(" "&amp;Reconhecimento!$A$5:$A$310," "&amp;$C93))),Reconhecimento!$C$5:$C$310),"—"))</f>
        <v/>
      </c>
      <c r="I93" s="15">
        <f>IF($C93="","",IFERROR(VLOOKUP($G93,Tipos!$A$5:$B$51,2,FALSE),"—"))</f>
        <v/>
      </c>
      <c r="J93" s="15">
        <f>IF(COUNTA($A93:$C93)=0,"",IF($A93="","Falta a Área",IF($B93="","Falta o Setor",IF($C93="","Falta o nome",IF(COUNTIF($C$6:$C$403,$C93)&gt;1,"Nome repetido: use 01, 02… ou a Qtd",IF(LEFT($G93,7)="Confira","Confira o tipo na importação","OK"))))))</f>
        <v/>
      </c>
    </row>
    <row r="94">
      <c r="A94" s="16" t="n"/>
      <c r="B94" s="16" t="n"/>
      <c r="C94" s="16" t="n"/>
      <c r="D94" s="16" t="n"/>
      <c r="E94" s="17" t="n"/>
      <c r="F94" s="16" t="n"/>
      <c r="G94" s="15">
        <f>IF($C94="","",IFERROR(LOOKUP(2,1/((Reconhecimento!$A$5:$A$310&lt;&gt;"")*ISNUMBER(SEARCH(" "&amp;Reconhecimento!$A$5:$A$310," "&amp;$C94))),Reconhecimento!$B$5:$B$310),"Confira: escolha na importação"))</f>
        <v/>
      </c>
      <c r="H94" s="15">
        <f>IF($C94="","",IFERROR(LOOKUP(2,1/((Reconhecimento!$A$5:$A$310&lt;&gt;"")*ISNUMBER(SEARCH(" "&amp;Reconhecimento!$A$5:$A$310," "&amp;$C94))),Reconhecimento!$C$5:$C$310),"—"))</f>
        <v/>
      </c>
      <c r="I94" s="15">
        <f>IF($C94="","",IFERROR(VLOOKUP($G94,Tipos!$A$5:$B$51,2,FALSE),"—"))</f>
        <v/>
      </c>
      <c r="J94" s="15">
        <f>IF(COUNTA($A94:$C94)=0,"",IF($A94="","Falta a Área",IF($B94="","Falta o Setor",IF($C94="","Falta o nome",IF(COUNTIF($C$6:$C$403,$C94)&gt;1,"Nome repetido: use 01, 02… ou a Qtd",IF(LEFT($G94,7)="Confira","Confira o tipo na importação","OK"))))))</f>
        <v/>
      </c>
    </row>
    <row r="95">
      <c r="A95" s="16" t="n"/>
      <c r="B95" s="16" t="n"/>
      <c r="C95" s="16" t="n"/>
      <c r="D95" s="16" t="n"/>
      <c r="E95" s="17" t="n"/>
      <c r="F95" s="16" t="n"/>
      <c r="G95" s="15">
        <f>IF($C95="","",IFERROR(LOOKUP(2,1/((Reconhecimento!$A$5:$A$310&lt;&gt;"")*ISNUMBER(SEARCH(" "&amp;Reconhecimento!$A$5:$A$310," "&amp;$C95))),Reconhecimento!$B$5:$B$310),"Confira: escolha na importação"))</f>
        <v/>
      </c>
      <c r="H95" s="15">
        <f>IF($C95="","",IFERROR(LOOKUP(2,1/((Reconhecimento!$A$5:$A$310&lt;&gt;"")*ISNUMBER(SEARCH(" "&amp;Reconhecimento!$A$5:$A$310," "&amp;$C95))),Reconhecimento!$C$5:$C$310),"—"))</f>
        <v/>
      </c>
      <c r="I95" s="15">
        <f>IF($C95="","",IFERROR(VLOOKUP($G95,Tipos!$A$5:$B$51,2,FALSE),"—"))</f>
        <v/>
      </c>
      <c r="J95" s="15">
        <f>IF(COUNTA($A95:$C95)=0,"",IF($A95="","Falta a Área",IF($B95="","Falta o Setor",IF($C95="","Falta o nome",IF(COUNTIF($C$6:$C$403,$C95)&gt;1,"Nome repetido: use 01, 02… ou a Qtd",IF(LEFT($G95,7)="Confira","Confira o tipo na importação","OK"))))))</f>
        <v/>
      </c>
    </row>
    <row r="96">
      <c r="A96" s="16" t="n"/>
      <c r="B96" s="16" t="n"/>
      <c r="C96" s="16" t="n"/>
      <c r="D96" s="16" t="n"/>
      <c r="E96" s="17" t="n"/>
      <c r="F96" s="16" t="n"/>
      <c r="G96" s="15">
        <f>IF($C96="","",IFERROR(LOOKUP(2,1/((Reconhecimento!$A$5:$A$310&lt;&gt;"")*ISNUMBER(SEARCH(" "&amp;Reconhecimento!$A$5:$A$310," "&amp;$C96))),Reconhecimento!$B$5:$B$310),"Confira: escolha na importação"))</f>
        <v/>
      </c>
      <c r="H96" s="15">
        <f>IF($C96="","",IFERROR(LOOKUP(2,1/((Reconhecimento!$A$5:$A$310&lt;&gt;"")*ISNUMBER(SEARCH(" "&amp;Reconhecimento!$A$5:$A$310," "&amp;$C96))),Reconhecimento!$C$5:$C$310),"—"))</f>
        <v/>
      </c>
      <c r="I96" s="15">
        <f>IF($C96="","",IFERROR(VLOOKUP($G96,Tipos!$A$5:$B$51,2,FALSE),"—"))</f>
        <v/>
      </c>
      <c r="J96" s="15">
        <f>IF(COUNTA($A96:$C96)=0,"",IF($A96="","Falta a Área",IF($B96="","Falta o Setor",IF($C96="","Falta o nome",IF(COUNTIF($C$6:$C$403,$C96)&gt;1,"Nome repetido: use 01, 02… ou a Qtd",IF(LEFT($G96,7)="Confira","Confira o tipo na importação","OK"))))))</f>
        <v/>
      </c>
    </row>
    <row r="97">
      <c r="A97" s="16" t="n"/>
      <c r="B97" s="16" t="n"/>
      <c r="C97" s="16" t="n"/>
      <c r="D97" s="16" t="n"/>
      <c r="E97" s="17" t="n"/>
      <c r="F97" s="16" t="n"/>
      <c r="G97" s="15">
        <f>IF($C97="","",IFERROR(LOOKUP(2,1/((Reconhecimento!$A$5:$A$310&lt;&gt;"")*ISNUMBER(SEARCH(" "&amp;Reconhecimento!$A$5:$A$310," "&amp;$C97))),Reconhecimento!$B$5:$B$310),"Confira: escolha na importação"))</f>
        <v/>
      </c>
      <c r="H97" s="15">
        <f>IF($C97="","",IFERROR(LOOKUP(2,1/((Reconhecimento!$A$5:$A$310&lt;&gt;"")*ISNUMBER(SEARCH(" "&amp;Reconhecimento!$A$5:$A$310," "&amp;$C97))),Reconhecimento!$C$5:$C$310),"—"))</f>
        <v/>
      </c>
      <c r="I97" s="15">
        <f>IF($C97="","",IFERROR(VLOOKUP($G97,Tipos!$A$5:$B$51,2,FALSE),"—"))</f>
        <v/>
      </c>
      <c r="J97" s="15">
        <f>IF(COUNTA($A97:$C97)=0,"",IF($A97="","Falta a Área",IF($B97="","Falta o Setor",IF($C97="","Falta o nome",IF(COUNTIF($C$6:$C$403,$C97)&gt;1,"Nome repetido: use 01, 02… ou a Qtd",IF(LEFT($G97,7)="Confira","Confira o tipo na importação","OK"))))))</f>
        <v/>
      </c>
    </row>
    <row r="98">
      <c r="A98" s="16" t="n"/>
      <c r="B98" s="16" t="n"/>
      <c r="C98" s="16" t="n"/>
      <c r="D98" s="16" t="n"/>
      <c r="E98" s="17" t="n"/>
      <c r="F98" s="16" t="n"/>
      <c r="G98" s="15">
        <f>IF($C98="","",IFERROR(LOOKUP(2,1/((Reconhecimento!$A$5:$A$310&lt;&gt;"")*ISNUMBER(SEARCH(" "&amp;Reconhecimento!$A$5:$A$310," "&amp;$C98))),Reconhecimento!$B$5:$B$310),"Confira: escolha na importação"))</f>
        <v/>
      </c>
      <c r="H98" s="15">
        <f>IF($C98="","",IFERROR(LOOKUP(2,1/((Reconhecimento!$A$5:$A$310&lt;&gt;"")*ISNUMBER(SEARCH(" "&amp;Reconhecimento!$A$5:$A$310," "&amp;$C98))),Reconhecimento!$C$5:$C$310),"—"))</f>
        <v/>
      </c>
      <c r="I98" s="15">
        <f>IF($C98="","",IFERROR(VLOOKUP($G98,Tipos!$A$5:$B$51,2,FALSE),"—"))</f>
        <v/>
      </c>
      <c r="J98" s="15">
        <f>IF(COUNTA($A98:$C98)=0,"",IF($A98="","Falta a Área",IF($B98="","Falta o Setor",IF($C98="","Falta o nome",IF(COUNTIF($C$6:$C$403,$C98)&gt;1,"Nome repetido: use 01, 02… ou a Qtd",IF(LEFT($G98,7)="Confira","Confira o tipo na importação","OK"))))))</f>
        <v/>
      </c>
    </row>
    <row r="99">
      <c r="A99" s="16" t="n"/>
      <c r="B99" s="16" t="n"/>
      <c r="C99" s="16" t="n"/>
      <c r="D99" s="16" t="n"/>
      <c r="E99" s="17" t="n"/>
      <c r="F99" s="16" t="n"/>
      <c r="G99" s="15">
        <f>IF($C99="","",IFERROR(LOOKUP(2,1/((Reconhecimento!$A$5:$A$310&lt;&gt;"")*ISNUMBER(SEARCH(" "&amp;Reconhecimento!$A$5:$A$310," "&amp;$C99))),Reconhecimento!$B$5:$B$310),"Confira: escolha na importação"))</f>
        <v/>
      </c>
      <c r="H99" s="15">
        <f>IF($C99="","",IFERROR(LOOKUP(2,1/((Reconhecimento!$A$5:$A$310&lt;&gt;"")*ISNUMBER(SEARCH(" "&amp;Reconhecimento!$A$5:$A$310," "&amp;$C99))),Reconhecimento!$C$5:$C$310),"—"))</f>
        <v/>
      </c>
      <c r="I99" s="15">
        <f>IF($C99="","",IFERROR(VLOOKUP($G99,Tipos!$A$5:$B$51,2,FALSE),"—"))</f>
        <v/>
      </c>
      <c r="J99" s="15">
        <f>IF(COUNTA($A99:$C99)=0,"",IF($A99="","Falta a Área",IF($B99="","Falta o Setor",IF($C99="","Falta o nome",IF(COUNTIF($C$6:$C$403,$C99)&gt;1,"Nome repetido: use 01, 02… ou a Qtd",IF(LEFT($G99,7)="Confira","Confira o tipo na importação","OK"))))))</f>
        <v/>
      </c>
    </row>
    <row r="100">
      <c r="A100" s="16" t="n"/>
      <c r="B100" s="16" t="n"/>
      <c r="C100" s="16" t="n"/>
      <c r="D100" s="16" t="n"/>
      <c r="E100" s="17" t="n"/>
      <c r="F100" s="16" t="n"/>
      <c r="G100" s="15">
        <f>IF($C100="","",IFERROR(LOOKUP(2,1/((Reconhecimento!$A$5:$A$310&lt;&gt;"")*ISNUMBER(SEARCH(" "&amp;Reconhecimento!$A$5:$A$310," "&amp;$C100))),Reconhecimento!$B$5:$B$310),"Confira: escolha na importação"))</f>
        <v/>
      </c>
      <c r="H100" s="15">
        <f>IF($C100="","",IFERROR(LOOKUP(2,1/((Reconhecimento!$A$5:$A$310&lt;&gt;"")*ISNUMBER(SEARCH(" "&amp;Reconhecimento!$A$5:$A$310," "&amp;$C100))),Reconhecimento!$C$5:$C$310),"—"))</f>
        <v/>
      </c>
      <c r="I100" s="15">
        <f>IF($C100="","",IFERROR(VLOOKUP($G100,Tipos!$A$5:$B$51,2,FALSE),"—"))</f>
        <v/>
      </c>
      <c r="J100" s="15">
        <f>IF(COUNTA($A100:$C100)=0,"",IF($A100="","Falta a Área",IF($B100="","Falta o Setor",IF($C100="","Falta o nome",IF(COUNTIF($C$6:$C$403,$C100)&gt;1,"Nome repetido: use 01, 02… ou a Qtd",IF(LEFT($G100,7)="Confira","Confira o tipo na importação","OK"))))))</f>
        <v/>
      </c>
    </row>
    <row r="101">
      <c r="A101" s="16" t="n"/>
      <c r="B101" s="16" t="n"/>
      <c r="C101" s="16" t="n"/>
      <c r="D101" s="16" t="n"/>
      <c r="E101" s="17" t="n"/>
      <c r="F101" s="16" t="n"/>
      <c r="G101" s="15">
        <f>IF($C101="","",IFERROR(LOOKUP(2,1/((Reconhecimento!$A$5:$A$310&lt;&gt;"")*ISNUMBER(SEARCH(" "&amp;Reconhecimento!$A$5:$A$310," "&amp;$C101))),Reconhecimento!$B$5:$B$310),"Confira: escolha na importação"))</f>
        <v/>
      </c>
      <c r="H101" s="15">
        <f>IF($C101="","",IFERROR(LOOKUP(2,1/((Reconhecimento!$A$5:$A$310&lt;&gt;"")*ISNUMBER(SEARCH(" "&amp;Reconhecimento!$A$5:$A$310," "&amp;$C101))),Reconhecimento!$C$5:$C$310),"—"))</f>
        <v/>
      </c>
      <c r="I101" s="15">
        <f>IF($C101="","",IFERROR(VLOOKUP($G101,Tipos!$A$5:$B$51,2,FALSE),"—"))</f>
        <v/>
      </c>
      <c r="J101" s="15">
        <f>IF(COUNTA($A101:$C101)=0,"",IF($A101="","Falta a Área",IF($B101="","Falta o Setor",IF($C101="","Falta o nome",IF(COUNTIF($C$6:$C$403,$C101)&gt;1,"Nome repetido: use 01, 02… ou a Qtd",IF(LEFT($G101,7)="Confira","Confira o tipo na importação","OK"))))))</f>
        <v/>
      </c>
    </row>
    <row r="102">
      <c r="A102" s="16" t="n"/>
      <c r="B102" s="16" t="n"/>
      <c r="C102" s="16" t="n"/>
      <c r="D102" s="16" t="n"/>
      <c r="E102" s="17" t="n"/>
      <c r="F102" s="16" t="n"/>
      <c r="G102" s="15">
        <f>IF($C102="","",IFERROR(LOOKUP(2,1/((Reconhecimento!$A$5:$A$310&lt;&gt;"")*ISNUMBER(SEARCH(" "&amp;Reconhecimento!$A$5:$A$310," "&amp;$C102))),Reconhecimento!$B$5:$B$310),"Confira: escolha na importação"))</f>
        <v/>
      </c>
      <c r="H102" s="15">
        <f>IF($C102="","",IFERROR(LOOKUP(2,1/((Reconhecimento!$A$5:$A$310&lt;&gt;"")*ISNUMBER(SEARCH(" "&amp;Reconhecimento!$A$5:$A$310," "&amp;$C102))),Reconhecimento!$C$5:$C$310),"—"))</f>
        <v/>
      </c>
      <c r="I102" s="15">
        <f>IF($C102="","",IFERROR(VLOOKUP($G102,Tipos!$A$5:$B$51,2,FALSE),"—"))</f>
        <v/>
      </c>
      <c r="J102" s="15">
        <f>IF(COUNTA($A102:$C102)=0,"",IF($A102="","Falta a Área",IF($B102="","Falta o Setor",IF($C102="","Falta o nome",IF(COUNTIF($C$6:$C$403,$C102)&gt;1,"Nome repetido: use 01, 02… ou a Qtd",IF(LEFT($G102,7)="Confira","Confira o tipo na importação","OK"))))))</f>
        <v/>
      </c>
    </row>
    <row r="103">
      <c r="A103" s="16" t="n"/>
      <c r="B103" s="16" t="n"/>
      <c r="C103" s="16" t="n"/>
      <c r="D103" s="16" t="n"/>
      <c r="E103" s="17" t="n"/>
      <c r="F103" s="16" t="n"/>
      <c r="G103" s="15">
        <f>IF($C103="","",IFERROR(LOOKUP(2,1/((Reconhecimento!$A$5:$A$310&lt;&gt;"")*ISNUMBER(SEARCH(" "&amp;Reconhecimento!$A$5:$A$310," "&amp;$C103))),Reconhecimento!$B$5:$B$310),"Confira: escolha na importação"))</f>
        <v/>
      </c>
      <c r="H103" s="15">
        <f>IF($C103="","",IFERROR(LOOKUP(2,1/((Reconhecimento!$A$5:$A$310&lt;&gt;"")*ISNUMBER(SEARCH(" "&amp;Reconhecimento!$A$5:$A$310," "&amp;$C103))),Reconhecimento!$C$5:$C$310),"—"))</f>
        <v/>
      </c>
      <c r="I103" s="15">
        <f>IF($C103="","",IFERROR(VLOOKUP($G103,Tipos!$A$5:$B$51,2,FALSE),"—"))</f>
        <v/>
      </c>
      <c r="J103" s="15">
        <f>IF(COUNTA($A103:$C103)=0,"",IF($A103="","Falta a Área",IF($B103="","Falta o Setor",IF($C103="","Falta o nome",IF(COUNTIF($C$6:$C$403,$C103)&gt;1,"Nome repetido: use 01, 02… ou a Qtd",IF(LEFT($G103,7)="Confira","Confira o tipo na importação","OK"))))))</f>
        <v/>
      </c>
    </row>
    <row r="104">
      <c r="A104" s="16" t="n"/>
      <c r="B104" s="16" t="n"/>
      <c r="C104" s="16" t="n"/>
      <c r="D104" s="16" t="n"/>
      <c r="E104" s="17" t="n"/>
      <c r="F104" s="16" t="n"/>
      <c r="G104" s="15">
        <f>IF($C104="","",IFERROR(LOOKUP(2,1/((Reconhecimento!$A$5:$A$310&lt;&gt;"")*ISNUMBER(SEARCH(" "&amp;Reconhecimento!$A$5:$A$310," "&amp;$C104))),Reconhecimento!$B$5:$B$310),"Confira: escolha na importação"))</f>
        <v/>
      </c>
      <c r="H104" s="15">
        <f>IF($C104="","",IFERROR(LOOKUP(2,1/((Reconhecimento!$A$5:$A$310&lt;&gt;"")*ISNUMBER(SEARCH(" "&amp;Reconhecimento!$A$5:$A$310," "&amp;$C104))),Reconhecimento!$C$5:$C$310),"—"))</f>
        <v/>
      </c>
      <c r="I104" s="15">
        <f>IF($C104="","",IFERROR(VLOOKUP($G104,Tipos!$A$5:$B$51,2,FALSE),"—"))</f>
        <v/>
      </c>
      <c r="J104" s="15">
        <f>IF(COUNTA($A104:$C104)=0,"",IF($A104="","Falta a Área",IF($B104="","Falta o Setor",IF($C104="","Falta o nome",IF(COUNTIF($C$6:$C$403,$C104)&gt;1,"Nome repetido: use 01, 02… ou a Qtd",IF(LEFT($G104,7)="Confira","Confira o tipo na importação","OK"))))))</f>
        <v/>
      </c>
    </row>
    <row r="105">
      <c r="A105" s="16" t="n"/>
      <c r="B105" s="16" t="n"/>
      <c r="C105" s="16" t="n"/>
      <c r="D105" s="16" t="n"/>
      <c r="E105" s="17" t="n"/>
      <c r="F105" s="16" t="n"/>
      <c r="G105" s="15">
        <f>IF($C105="","",IFERROR(LOOKUP(2,1/((Reconhecimento!$A$5:$A$310&lt;&gt;"")*ISNUMBER(SEARCH(" "&amp;Reconhecimento!$A$5:$A$310," "&amp;$C105))),Reconhecimento!$B$5:$B$310),"Confira: escolha na importação"))</f>
        <v/>
      </c>
      <c r="H105" s="15">
        <f>IF($C105="","",IFERROR(LOOKUP(2,1/((Reconhecimento!$A$5:$A$310&lt;&gt;"")*ISNUMBER(SEARCH(" "&amp;Reconhecimento!$A$5:$A$310," "&amp;$C105))),Reconhecimento!$C$5:$C$310),"—"))</f>
        <v/>
      </c>
      <c r="I105" s="15">
        <f>IF($C105="","",IFERROR(VLOOKUP($G105,Tipos!$A$5:$B$51,2,FALSE),"—"))</f>
        <v/>
      </c>
      <c r="J105" s="15">
        <f>IF(COUNTA($A105:$C105)=0,"",IF($A105="","Falta a Área",IF($B105="","Falta o Setor",IF($C105="","Falta o nome",IF(COUNTIF($C$6:$C$403,$C105)&gt;1,"Nome repetido: use 01, 02… ou a Qtd",IF(LEFT($G105,7)="Confira","Confira o tipo na importação","OK"))))))</f>
        <v/>
      </c>
    </row>
    <row r="106">
      <c r="A106" s="16" t="n"/>
      <c r="B106" s="16" t="n"/>
      <c r="C106" s="16" t="n"/>
      <c r="D106" s="16" t="n"/>
      <c r="E106" s="17" t="n"/>
      <c r="F106" s="16" t="n"/>
      <c r="G106" s="15">
        <f>IF($C106="","",IFERROR(LOOKUP(2,1/((Reconhecimento!$A$5:$A$310&lt;&gt;"")*ISNUMBER(SEARCH(" "&amp;Reconhecimento!$A$5:$A$310," "&amp;$C106))),Reconhecimento!$B$5:$B$310),"Confira: escolha na importação"))</f>
        <v/>
      </c>
      <c r="H106" s="15">
        <f>IF($C106="","",IFERROR(LOOKUP(2,1/((Reconhecimento!$A$5:$A$310&lt;&gt;"")*ISNUMBER(SEARCH(" "&amp;Reconhecimento!$A$5:$A$310," "&amp;$C106))),Reconhecimento!$C$5:$C$310),"—"))</f>
        <v/>
      </c>
      <c r="I106" s="15">
        <f>IF($C106="","",IFERROR(VLOOKUP($G106,Tipos!$A$5:$B$51,2,FALSE),"—"))</f>
        <v/>
      </c>
      <c r="J106" s="15">
        <f>IF(COUNTA($A106:$C106)=0,"",IF($A106="","Falta a Área",IF($B106="","Falta o Setor",IF($C106="","Falta o nome",IF(COUNTIF($C$6:$C$403,$C106)&gt;1,"Nome repetido: use 01, 02… ou a Qtd",IF(LEFT($G106,7)="Confira","Confira o tipo na importação","OK"))))))</f>
        <v/>
      </c>
    </row>
    <row r="107">
      <c r="A107" s="16" t="n"/>
      <c r="B107" s="16" t="n"/>
      <c r="C107" s="16" t="n"/>
      <c r="D107" s="16" t="n"/>
      <c r="E107" s="17" t="n"/>
      <c r="F107" s="16" t="n"/>
      <c r="G107" s="15">
        <f>IF($C107="","",IFERROR(LOOKUP(2,1/((Reconhecimento!$A$5:$A$310&lt;&gt;"")*ISNUMBER(SEARCH(" "&amp;Reconhecimento!$A$5:$A$310," "&amp;$C107))),Reconhecimento!$B$5:$B$310),"Confira: escolha na importação"))</f>
        <v/>
      </c>
      <c r="H107" s="15">
        <f>IF($C107="","",IFERROR(LOOKUP(2,1/((Reconhecimento!$A$5:$A$310&lt;&gt;"")*ISNUMBER(SEARCH(" "&amp;Reconhecimento!$A$5:$A$310," "&amp;$C107))),Reconhecimento!$C$5:$C$310),"—"))</f>
        <v/>
      </c>
      <c r="I107" s="15">
        <f>IF($C107="","",IFERROR(VLOOKUP($G107,Tipos!$A$5:$B$51,2,FALSE),"—"))</f>
        <v/>
      </c>
      <c r="J107" s="15">
        <f>IF(COUNTA($A107:$C107)=0,"",IF($A107="","Falta a Área",IF($B107="","Falta o Setor",IF($C107="","Falta o nome",IF(COUNTIF($C$6:$C$403,$C107)&gt;1,"Nome repetido: use 01, 02… ou a Qtd",IF(LEFT($G107,7)="Confira","Confira o tipo na importação","OK"))))))</f>
        <v/>
      </c>
    </row>
    <row r="108">
      <c r="A108" s="16" t="n"/>
      <c r="B108" s="16" t="n"/>
      <c r="C108" s="16" t="n"/>
      <c r="D108" s="16" t="n"/>
      <c r="E108" s="17" t="n"/>
      <c r="F108" s="16" t="n"/>
      <c r="G108" s="15">
        <f>IF($C108="","",IFERROR(LOOKUP(2,1/((Reconhecimento!$A$5:$A$310&lt;&gt;"")*ISNUMBER(SEARCH(" "&amp;Reconhecimento!$A$5:$A$310," "&amp;$C108))),Reconhecimento!$B$5:$B$310),"Confira: escolha na importação"))</f>
        <v/>
      </c>
      <c r="H108" s="15">
        <f>IF($C108="","",IFERROR(LOOKUP(2,1/((Reconhecimento!$A$5:$A$310&lt;&gt;"")*ISNUMBER(SEARCH(" "&amp;Reconhecimento!$A$5:$A$310," "&amp;$C108))),Reconhecimento!$C$5:$C$310),"—"))</f>
        <v/>
      </c>
      <c r="I108" s="15">
        <f>IF($C108="","",IFERROR(VLOOKUP($G108,Tipos!$A$5:$B$51,2,FALSE),"—"))</f>
        <v/>
      </c>
      <c r="J108" s="15">
        <f>IF(COUNTA($A108:$C108)=0,"",IF($A108="","Falta a Área",IF($B108="","Falta o Setor",IF($C108="","Falta o nome",IF(COUNTIF($C$6:$C$403,$C108)&gt;1,"Nome repetido: use 01, 02… ou a Qtd",IF(LEFT($G108,7)="Confira","Confira o tipo na importação","OK"))))))</f>
        <v/>
      </c>
    </row>
    <row r="109">
      <c r="A109" s="16" t="n"/>
      <c r="B109" s="16" t="n"/>
      <c r="C109" s="16" t="n"/>
      <c r="D109" s="16" t="n"/>
      <c r="E109" s="17" t="n"/>
      <c r="F109" s="16" t="n"/>
      <c r="G109" s="15">
        <f>IF($C109="","",IFERROR(LOOKUP(2,1/((Reconhecimento!$A$5:$A$310&lt;&gt;"")*ISNUMBER(SEARCH(" "&amp;Reconhecimento!$A$5:$A$310," "&amp;$C109))),Reconhecimento!$B$5:$B$310),"Confira: escolha na importação"))</f>
        <v/>
      </c>
      <c r="H109" s="15">
        <f>IF($C109="","",IFERROR(LOOKUP(2,1/((Reconhecimento!$A$5:$A$310&lt;&gt;"")*ISNUMBER(SEARCH(" "&amp;Reconhecimento!$A$5:$A$310," "&amp;$C109))),Reconhecimento!$C$5:$C$310),"—"))</f>
        <v/>
      </c>
      <c r="I109" s="15">
        <f>IF($C109="","",IFERROR(VLOOKUP($G109,Tipos!$A$5:$B$51,2,FALSE),"—"))</f>
        <v/>
      </c>
      <c r="J109" s="15">
        <f>IF(COUNTA($A109:$C109)=0,"",IF($A109="","Falta a Área",IF($B109="","Falta o Setor",IF($C109="","Falta o nome",IF(COUNTIF($C$6:$C$403,$C109)&gt;1,"Nome repetido: use 01, 02… ou a Qtd",IF(LEFT($G109,7)="Confira","Confira o tipo na importação","OK"))))))</f>
        <v/>
      </c>
    </row>
    <row r="110">
      <c r="A110" s="16" t="n"/>
      <c r="B110" s="16" t="n"/>
      <c r="C110" s="16" t="n"/>
      <c r="D110" s="16" t="n"/>
      <c r="E110" s="17" t="n"/>
      <c r="F110" s="16" t="n"/>
      <c r="G110" s="15">
        <f>IF($C110="","",IFERROR(LOOKUP(2,1/((Reconhecimento!$A$5:$A$310&lt;&gt;"")*ISNUMBER(SEARCH(" "&amp;Reconhecimento!$A$5:$A$310," "&amp;$C110))),Reconhecimento!$B$5:$B$310),"Confira: escolha na importação"))</f>
        <v/>
      </c>
      <c r="H110" s="15">
        <f>IF($C110="","",IFERROR(LOOKUP(2,1/((Reconhecimento!$A$5:$A$310&lt;&gt;"")*ISNUMBER(SEARCH(" "&amp;Reconhecimento!$A$5:$A$310," "&amp;$C110))),Reconhecimento!$C$5:$C$310),"—"))</f>
        <v/>
      </c>
      <c r="I110" s="15">
        <f>IF($C110="","",IFERROR(VLOOKUP($G110,Tipos!$A$5:$B$51,2,FALSE),"—"))</f>
        <v/>
      </c>
      <c r="J110" s="15">
        <f>IF(COUNTA($A110:$C110)=0,"",IF($A110="","Falta a Área",IF($B110="","Falta o Setor",IF($C110="","Falta o nome",IF(COUNTIF($C$6:$C$403,$C110)&gt;1,"Nome repetido: use 01, 02… ou a Qtd",IF(LEFT($G110,7)="Confira","Confira o tipo na importação","OK"))))))</f>
        <v/>
      </c>
    </row>
    <row r="111">
      <c r="A111" s="16" t="n"/>
      <c r="B111" s="16" t="n"/>
      <c r="C111" s="16" t="n"/>
      <c r="D111" s="16" t="n"/>
      <c r="E111" s="17" t="n"/>
      <c r="F111" s="16" t="n"/>
      <c r="G111" s="15">
        <f>IF($C111="","",IFERROR(LOOKUP(2,1/((Reconhecimento!$A$5:$A$310&lt;&gt;"")*ISNUMBER(SEARCH(" "&amp;Reconhecimento!$A$5:$A$310," "&amp;$C111))),Reconhecimento!$B$5:$B$310),"Confira: escolha na importação"))</f>
        <v/>
      </c>
      <c r="H111" s="15">
        <f>IF($C111="","",IFERROR(LOOKUP(2,1/((Reconhecimento!$A$5:$A$310&lt;&gt;"")*ISNUMBER(SEARCH(" "&amp;Reconhecimento!$A$5:$A$310," "&amp;$C111))),Reconhecimento!$C$5:$C$310),"—"))</f>
        <v/>
      </c>
      <c r="I111" s="15">
        <f>IF($C111="","",IFERROR(VLOOKUP($G111,Tipos!$A$5:$B$51,2,FALSE),"—"))</f>
        <v/>
      </c>
      <c r="J111" s="15">
        <f>IF(COUNTA($A111:$C111)=0,"",IF($A111="","Falta a Área",IF($B111="","Falta o Setor",IF($C111="","Falta o nome",IF(COUNTIF($C$6:$C$403,$C111)&gt;1,"Nome repetido: use 01, 02… ou a Qtd",IF(LEFT($G111,7)="Confira","Confira o tipo na importação","OK"))))))</f>
        <v/>
      </c>
    </row>
    <row r="112">
      <c r="A112" s="16" t="n"/>
      <c r="B112" s="16" t="n"/>
      <c r="C112" s="16" t="n"/>
      <c r="D112" s="16" t="n"/>
      <c r="E112" s="17" t="n"/>
      <c r="F112" s="16" t="n"/>
      <c r="G112" s="15">
        <f>IF($C112="","",IFERROR(LOOKUP(2,1/((Reconhecimento!$A$5:$A$310&lt;&gt;"")*ISNUMBER(SEARCH(" "&amp;Reconhecimento!$A$5:$A$310," "&amp;$C112))),Reconhecimento!$B$5:$B$310),"Confira: escolha na importação"))</f>
        <v/>
      </c>
      <c r="H112" s="15">
        <f>IF($C112="","",IFERROR(LOOKUP(2,1/((Reconhecimento!$A$5:$A$310&lt;&gt;"")*ISNUMBER(SEARCH(" "&amp;Reconhecimento!$A$5:$A$310," "&amp;$C112))),Reconhecimento!$C$5:$C$310),"—"))</f>
        <v/>
      </c>
      <c r="I112" s="15">
        <f>IF($C112="","",IFERROR(VLOOKUP($G112,Tipos!$A$5:$B$51,2,FALSE),"—"))</f>
        <v/>
      </c>
      <c r="J112" s="15">
        <f>IF(COUNTA($A112:$C112)=0,"",IF($A112="","Falta a Área",IF($B112="","Falta o Setor",IF($C112="","Falta o nome",IF(COUNTIF($C$6:$C$403,$C112)&gt;1,"Nome repetido: use 01, 02… ou a Qtd",IF(LEFT($G112,7)="Confira","Confira o tipo na importação","OK"))))))</f>
        <v/>
      </c>
    </row>
    <row r="113">
      <c r="A113" s="16" t="n"/>
      <c r="B113" s="16" t="n"/>
      <c r="C113" s="16" t="n"/>
      <c r="D113" s="16" t="n"/>
      <c r="E113" s="17" t="n"/>
      <c r="F113" s="16" t="n"/>
      <c r="G113" s="15">
        <f>IF($C113="","",IFERROR(LOOKUP(2,1/((Reconhecimento!$A$5:$A$310&lt;&gt;"")*ISNUMBER(SEARCH(" "&amp;Reconhecimento!$A$5:$A$310," "&amp;$C113))),Reconhecimento!$B$5:$B$310),"Confira: escolha na importação"))</f>
        <v/>
      </c>
      <c r="H113" s="15">
        <f>IF($C113="","",IFERROR(LOOKUP(2,1/((Reconhecimento!$A$5:$A$310&lt;&gt;"")*ISNUMBER(SEARCH(" "&amp;Reconhecimento!$A$5:$A$310," "&amp;$C113))),Reconhecimento!$C$5:$C$310),"—"))</f>
        <v/>
      </c>
      <c r="I113" s="15">
        <f>IF($C113="","",IFERROR(VLOOKUP($G113,Tipos!$A$5:$B$51,2,FALSE),"—"))</f>
        <v/>
      </c>
      <c r="J113" s="15">
        <f>IF(COUNTA($A113:$C113)=0,"",IF($A113="","Falta a Área",IF($B113="","Falta o Setor",IF($C113="","Falta o nome",IF(COUNTIF($C$6:$C$403,$C113)&gt;1,"Nome repetido: use 01, 02… ou a Qtd",IF(LEFT($G113,7)="Confira","Confira o tipo na importação","OK"))))))</f>
        <v/>
      </c>
    </row>
    <row r="114">
      <c r="A114" s="16" t="n"/>
      <c r="B114" s="16" t="n"/>
      <c r="C114" s="16" t="n"/>
      <c r="D114" s="16" t="n"/>
      <c r="E114" s="17" t="n"/>
      <c r="F114" s="16" t="n"/>
      <c r="G114" s="15">
        <f>IF($C114="","",IFERROR(LOOKUP(2,1/((Reconhecimento!$A$5:$A$310&lt;&gt;"")*ISNUMBER(SEARCH(" "&amp;Reconhecimento!$A$5:$A$310," "&amp;$C114))),Reconhecimento!$B$5:$B$310),"Confira: escolha na importação"))</f>
        <v/>
      </c>
      <c r="H114" s="15">
        <f>IF($C114="","",IFERROR(LOOKUP(2,1/((Reconhecimento!$A$5:$A$310&lt;&gt;"")*ISNUMBER(SEARCH(" "&amp;Reconhecimento!$A$5:$A$310," "&amp;$C114))),Reconhecimento!$C$5:$C$310),"—"))</f>
        <v/>
      </c>
      <c r="I114" s="15">
        <f>IF($C114="","",IFERROR(VLOOKUP($G114,Tipos!$A$5:$B$51,2,FALSE),"—"))</f>
        <v/>
      </c>
      <c r="J114" s="15">
        <f>IF(COUNTA($A114:$C114)=0,"",IF($A114="","Falta a Área",IF($B114="","Falta o Setor",IF($C114="","Falta o nome",IF(COUNTIF($C$6:$C$403,$C114)&gt;1,"Nome repetido: use 01, 02… ou a Qtd",IF(LEFT($G114,7)="Confira","Confira o tipo na importação","OK"))))))</f>
        <v/>
      </c>
    </row>
    <row r="115">
      <c r="A115" s="16" t="n"/>
      <c r="B115" s="16" t="n"/>
      <c r="C115" s="16" t="n"/>
      <c r="D115" s="16" t="n"/>
      <c r="E115" s="17" t="n"/>
      <c r="F115" s="16" t="n"/>
      <c r="G115" s="15">
        <f>IF($C115="","",IFERROR(LOOKUP(2,1/((Reconhecimento!$A$5:$A$310&lt;&gt;"")*ISNUMBER(SEARCH(" "&amp;Reconhecimento!$A$5:$A$310," "&amp;$C115))),Reconhecimento!$B$5:$B$310),"Confira: escolha na importação"))</f>
        <v/>
      </c>
      <c r="H115" s="15">
        <f>IF($C115="","",IFERROR(LOOKUP(2,1/((Reconhecimento!$A$5:$A$310&lt;&gt;"")*ISNUMBER(SEARCH(" "&amp;Reconhecimento!$A$5:$A$310," "&amp;$C115))),Reconhecimento!$C$5:$C$310),"—"))</f>
        <v/>
      </c>
      <c r="I115" s="15">
        <f>IF($C115="","",IFERROR(VLOOKUP($G115,Tipos!$A$5:$B$51,2,FALSE),"—"))</f>
        <v/>
      </c>
      <c r="J115" s="15">
        <f>IF(COUNTA($A115:$C115)=0,"",IF($A115="","Falta a Área",IF($B115="","Falta o Setor",IF($C115="","Falta o nome",IF(COUNTIF($C$6:$C$403,$C115)&gt;1,"Nome repetido: use 01, 02… ou a Qtd",IF(LEFT($G115,7)="Confira","Confira o tipo na importação","OK"))))))</f>
        <v/>
      </c>
    </row>
    <row r="116">
      <c r="A116" s="16" t="n"/>
      <c r="B116" s="16" t="n"/>
      <c r="C116" s="16" t="n"/>
      <c r="D116" s="16" t="n"/>
      <c r="E116" s="17" t="n"/>
      <c r="F116" s="16" t="n"/>
      <c r="G116" s="15">
        <f>IF($C116="","",IFERROR(LOOKUP(2,1/((Reconhecimento!$A$5:$A$310&lt;&gt;"")*ISNUMBER(SEARCH(" "&amp;Reconhecimento!$A$5:$A$310," "&amp;$C116))),Reconhecimento!$B$5:$B$310),"Confira: escolha na importação"))</f>
        <v/>
      </c>
      <c r="H116" s="15">
        <f>IF($C116="","",IFERROR(LOOKUP(2,1/((Reconhecimento!$A$5:$A$310&lt;&gt;"")*ISNUMBER(SEARCH(" "&amp;Reconhecimento!$A$5:$A$310," "&amp;$C116))),Reconhecimento!$C$5:$C$310),"—"))</f>
        <v/>
      </c>
      <c r="I116" s="15">
        <f>IF($C116="","",IFERROR(VLOOKUP($G116,Tipos!$A$5:$B$51,2,FALSE),"—"))</f>
        <v/>
      </c>
      <c r="J116" s="15">
        <f>IF(COUNTA($A116:$C116)=0,"",IF($A116="","Falta a Área",IF($B116="","Falta o Setor",IF($C116="","Falta o nome",IF(COUNTIF($C$6:$C$403,$C116)&gt;1,"Nome repetido: use 01, 02… ou a Qtd",IF(LEFT($G116,7)="Confira","Confira o tipo na importação","OK"))))))</f>
        <v/>
      </c>
    </row>
    <row r="117">
      <c r="A117" s="16" t="n"/>
      <c r="B117" s="16" t="n"/>
      <c r="C117" s="16" t="n"/>
      <c r="D117" s="16" t="n"/>
      <c r="E117" s="17" t="n"/>
      <c r="F117" s="16" t="n"/>
      <c r="G117" s="15">
        <f>IF($C117="","",IFERROR(LOOKUP(2,1/((Reconhecimento!$A$5:$A$310&lt;&gt;"")*ISNUMBER(SEARCH(" "&amp;Reconhecimento!$A$5:$A$310," "&amp;$C117))),Reconhecimento!$B$5:$B$310),"Confira: escolha na importação"))</f>
        <v/>
      </c>
      <c r="H117" s="15">
        <f>IF($C117="","",IFERROR(LOOKUP(2,1/((Reconhecimento!$A$5:$A$310&lt;&gt;"")*ISNUMBER(SEARCH(" "&amp;Reconhecimento!$A$5:$A$310," "&amp;$C117))),Reconhecimento!$C$5:$C$310),"—"))</f>
        <v/>
      </c>
      <c r="I117" s="15">
        <f>IF($C117="","",IFERROR(VLOOKUP($G117,Tipos!$A$5:$B$51,2,FALSE),"—"))</f>
        <v/>
      </c>
      <c r="J117" s="15">
        <f>IF(COUNTA($A117:$C117)=0,"",IF($A117="","Falta a Área",IF($B117="","Falta o Setor",IF($C117="","Falta o nome",IF(COUNTIF($C$6:$C$403,$C117)&gt;1,"Nome repetido: use 01, 02… ou a Qtd",IF(LEFT($G117,7)="Confira","Confira o tipo na importação","OK"))))))</f>
        <v/>
      </c>
    </row>
    <row r="118">
      <c r="A118" s="16" t="n"/>
      <c r="B118" s="16" t="n"/>
      <c r="C118" s="16" t="n"/>
      <c r="D118" s="16" t="n"/>
      <c r="E118" s="17" t="n"/>
      <c r="F118" s="16" t="n"/>
      <c r="G118" s="15">
        <f>IF($C118="","",IFERROR(LOOKUP(2,1/((Reconhecimento!$A$5:$A$310&lt;&gt;"")*ISNUMBER(SEARCH(" "&amp;Reconhecimento!$A$5:$A$310," "&amp;$C118))),Reconhecimento!$B$5:$B$310),"Confira: escolha na importação"))</f>
        <v/>
      </c>
      <c r="H118" s="15">
        <f>IF($C118="","",IFERROR(LOOKUP(2,1/((Reconhecimento!$A$5:$A$310&lt;&gt;"")*ISNUMBER(SEARCH(" "&amp;Reconhecimento!$A$5:$A$310," "&amp;$C118))),Reconhecimento!$C$5:$C$310),"—"))</f>
        <v/>
      </c>
      <c r="I118" s="15">
        <f>IF($C118="","",IFERROR(VLOOKUP($G118,Tipos!$A$5:$B$51,2,FALSE),"—"))</f>
        <v/>
      </c>
      <c r="J118" s="15">
        <f>IF(COUNTA($A118:$C118)=0,"",IF($A118="","Falta a Área",IF($B118="","Falta o Setor",IF($C118="","Falta o nome",IF(COUNTIF($C$6:$C$403,$C118)&gt;1,"Nome repetido: use 01, 02… ou a Qtd",IF(LEFT($G118,7)="Confira","Confira o tipo na importação","OK"))))))</f>
        <v/>
      </c>
    </row>
    <row r="119">
      <c r="A119" s="16" t="n"/>
      <c r="B119" s="16" t="n"/>
      <c r="C119" s="16" t="n"/>
      <c r="D119" s="16" t="n"/>
      <c r="E119" s="17" t="n"/>
      <c r="F119" s="16" t="n"/>
      <c r="G119" s="15">
        <f>IF($C119="","",IFERROR(LOOKUP(2,1/((Reconhecimento!$A$5:$A$310&lt;&gt;"")*ISNUMBER(SEARCH(" "&amp;Reconhecimento!$A$5:$A$310," "&amp;$C119))),Reconhecimento!$B$5:$B$310),"Confira: escolha na importação"))</f>
        <v/>
      </c>
      <c r="H119" s="15">
        <f>IF($C119="","",IFERROR(LOOKUP(2,1/((Reconhecimento!$A$5:$A$310&lt;&gt;"")*ISNUMBER(SEARCH(" "&amp;Reconhecimento!$A$5:$A$310," "&amp;$C119))),Reconhecimento!$C$5:$C$310),"—"))</f>
        <v/>
      </c>
      <c r="I119" s="15">
        <f>IF($C119="","",IFERROR(VLOOKUP($G119,Tipos!$A$5:$B$51,2,FALSE),"—"))</f>
        <v/>
      </c>
      <c r="J119" s="15">
        <f>IF(COUNTA($A119:$C119)=0,"",IF($A119="","Falta a Área",IF($B119="","Falta o Setor",IF($C119="","Falta o nome",IF(COUNTIF($C$6:$C$403,$C119)&gt;1,"Nome repetido: use 01, 02… ou a Qtd",IF(LEFT($G119,7)="Confira","Confira o tipo na importação","OK"))))))</f>
        <v/>
      </c>
    </row>
    <row r="120">
      <c r="A120" s="16" t="n"/>
      <c r="B120" s="16" t="n"/>
      <c r="C120" s="16" t="n"/>
      <c r="D120" s="16" t="n"/>
      <c r="E120" s="17" t="n"/>
      <c r="F120" s="16" t="n"/>
      <c r="G120" s="15">
        <f>IF($C120="","",IFERROR(LOOKUP(2,1/((Reconhecimento!$A$5:$A$310&lt;&gt;"")*ISNUMBER(SEARCH(" "&amp;Reconhecimento!$A$5:$A$310," "&amp;$C120))),Reconhecimento!$B$5:$B$310),"Confira: escolha na importação"))</f>
        <v/>
      </c>
      <c r="H120" s="15">
        <f>IF($C120="","",IFERROR(LOOKUP(2,1/((Reconhecimento!$A$5:$A$310&lt;&gt;"")*ISNUMBER(SEARCH(" "&amp;Reconhecimento!$A$5:$A$310," "&amp;$C120))),Reconhecimento!$C$5:$C$310),"—"))</f>
        <v/>
      </c>
      <c r="I120" s="15">
        <f>IF($C120="","",IFERROR(VLOOKUP($G120,Tipos!$A$5:$B$51,2,FALSE),"—"))</f>
        <v/>
      </c>
      <c r="J120" s="15">
        <f>IF(COUNTA($A120:$C120)=0,"",IF($A120="","Falta a Área",IF($B120="","Falta o Setor",IF($C120="","Falta o nome",IF(COUNTIF($C$6:$C$403,$C120)&gt;1,"Nome repetido: use 01, 02… ou a Qtd",IF(LEFT($G120,7)="Confira","Confira o tipo na importação","OK"))))))</f>
        <v/>
      </c>
    </row>
    <row r="121">
      <c r="A121" s="16" t="n"/>
      <c r="B121" s="16" t="n"/>
      <c r="C121" s="16" t="n"/>
      <c r="D121" s="16" t="n"/>
      <c r="E121" s="17" t="n"/>
      <c r="F121" s="16" t="n"/>
      <c r="G121" s="15">
        <f>IF($C121="","",IFERROR(LOOKUP(2,1/((Reconhecimento!$A$5:$A$310&lt;&gt;"")*ISNUMBER(SEARCH(" "&amp;Reconhecimento!$A$5:$A$310," "&amp;$C121))),Reconhecimento!$B$5:$B$310),"Confira: escolha na importação"))</f>
        <v/>
      </c>
      <c r="H121" s="15">
        <f>IF($C121="","",IFERROR(LOOKUP(2,1/((Reconhecimento!$A$5:$A$310&lt;&gt;"")*ISNUMBER(SEARCH(" "&amp;Reconhecimento!$A$5:$A$310," "&amp;$C121))),Reconhecimento!$C$5:$C$310),"—"))</f>
        <v/>
      </c>
      <c r="I121" s="15">
        <f>IF($C121="","",IFERROR(VLOOKUP($G121,Tipos!$A$5:$B$51,2,FALSE),"—"))</f>
        <v/>
      </c>
      <c r="J121" s="15">
        <f>IF(COUNTA($A121:$C121)=0,"",IF($A121="","Falta a Área",IF($B121="","Falta o Setor",IF($C121="","Falta o nome",IF(COUNTIF($C$6:$C$403,$C121)&gt;1,"Nome repetido: use 01, 02… ou a Qtd",IF(LEFT($G121,7)="Confira","Confira o tipo na importação","OK"))))))</f>
        <v/>
      </c>
    </row>
    <row r="122">
      <c r="A122" s="16" t="n"/>
      <c r="B122" s="16" t="n"/>
      <c r="C122" s="16" t="n"/>
      <c r="D122" s="16" t="n"/>
      <c r="E122" s="17" t="n"/>
      <c r="F122" s="16" t="n"/>
      <c r="G122" s="15">
        <f>IF($C122="","",IFERROR(LOOKUP(2,1/((Reconhecimento!$A$5:$A$310&lt;&gt;"")*ISNUMBER(SEARCH(" "&amp;Reconhecimento!$A$5:$A$310," "&amp;$C122))),Reconhecimento!$B$5:$B$310),"Confira: escolha na importação"))</f>
        <v/>
      </c>
      <c r="H122" s="15">
        <f>IF($C122="","",IFERROR(LOOKUP(2,1/((Reconhecimento!$A$5:$A$310&lt;&gt;"")*ISNUMBER(SEARCH(" "&amp;Reconhecimento!$A$5:$A$310," "&amp;$C122))),Reconhecimento!$C$5:$C$310),"—"))</f>
        <v/>
      </c>
      <c r="I122" s="15">
        <f>IF($C122="","",IFERROR(VLOOKUP($G122,Tipos!$A$5:$B$51,2,FALSE),"—"))</f>
        <v/>
      </c>
      <c r="J122" s="15">
        <f>IF(COUNTA($A122:$C122)=0,"",IF($A122="","Falta a Área",IF($B122="","Falta o Setor",IF($C122="","Falta o nome",IF(COUNTIF($C$6:$C$403,$C122)&gt;1,"Nome repetido: use 01, 02… ou a Qtd",IF(LEFT($G122,7)="Confira","Confira o tipo na importação","OK"))))))</f>
        <v/>
      </c>
    </row>
    <row r="123">
      <c r="A123" s="16" t="n"/>
      <c r="B123" s="16" t="n"/>
      <c r="C123" s="16" t="n"/>
      <c r="D123" s="16" t="n"/>
      <c r="E123" s="17" t="n"/>
      <c r="F123" s="16" t="n"/>
      <c r="G123" s="15">
        <f>IF($C123="","",IFERROR(LOOKUP(2,1/((Reconhecimento!$A$5:$A$310&lt;&gt;"")*ISNUMBER(SEARCH(" "&amp;Reconhecimento!$A$5:$A$310," "&amp;$C123))),Reconhecimento!$B$5:$B$310),"Confira: escolha na importação"))</f>
        <v/>
      </c>
      <c r="H123" s="15">
        <f>IF($C123="","",IFERROR(LOOKUP(2,1/((Reconhecimento!$A$5:$A$310&lt;&gt;"")*ISNUMBER(SEARCH(" "&amp;Reconhecimento!$A$5:$A$310," "&amp;$C123))),Reconhecimento!$C$5:$C$310),"—"))</f>
        <v/>
      </c>
      <c r="I123" s="15">
        <f>IF($C123="","",IFERROR(VLOOKUP($G123,Tipos!$A$5:$B$51,2,FALSE),"—"))</f>
        <v/>
      </c>
      <c r="J123" s="15">
        <f>IF(COUNTA($A123:$C123)=0,"",IF($A123="","Falta a Área",IF($B123="","Falta o Setor",IF($C123="","Falta o nome",IF(COUNTIF($C$6:$C$403,$C123)&gt;1,"Nome repetido: use 01, 02… ou a Qtd",IF(LEFT($G123,7)="Confira","Confira o tipo na importação","OK"))))))</f>
        <v/>
      </c>
    </row>
    <row r="124">
      <c r="A124" s="16" t="n"/>
      <c r="B124" s="16" t="n"/>
      <c r="C124" s="16" t="n"/>
      <c r="D124" s="16" t="n"/>
      <c r="E124" s="17" t="n"/>
      <c r="F124" s="16" t="n"/>
      <c r="G124" s="15">
        <f>IF($C124="","",IFERROR(LOOKUP(2,1/((Reconhecimento!$A$5:$A$310&lt;&gt;"")*ISNUMBER(SEARCH(" "&amp;Reconhecimento!$A$5:$A$310," "&amp;$C124))),Reconhecimento!$B$5:$B$310),"Confira: escolha na importação"))</f>
        <v/>
      </c>
      <c r="H124" s="15">
        <f>IF($C124="","",IFERROR(LOOKUP(2,1/((Reconhecimento!$A$5:$A$310&lt;&gt;"")*ISNUMBER(SEARCH(" "&amp;Reconhecimento!$A$5:$A$310," "&amp;$C124))),Reconhecimento!$C$5:$C$310),"—"))</f>
        <v/>
      </c>
      <c r="I124" s="15">
        <f>IF($C124="","",IFERROR(VLOOKUP($G124,Tipos!$A$5:$B$51,2,FALSE),"—"))</f>
        <v/>
      </c>
      <c r="J124" s="15">
        <f>IF(COUNTA($A124:$C124)=0,"",IF($A124="","Falta a Área",IF($B124="","Falta o Setor",IF($C124="","Falta o nome",IF(COUNTIF($C$6:$C$403,$C124)&gt;1,"Nome repetido: use 01, 02… ou a Qtd",IF(LEFT($G124,7)="Confira","Confira o tipo na importação","OK"))))))</f>
        <v/>
      </c>
    </row>
    <row r="125">
      <c r="A125" s="16" t="n"/>
      <c r="B125" s="16" t="n"/>
      <c r="C125" s="16" t="n"/>
      <c r="D125" s="16" t="n"/>
      <c r="E125" s="17" t="n"/>
      <c r="F125" s="16" t="n"/>
      <c r="G125" s="15">
        <f>IF($C125="","",IFERROR(LOOKUP(2,1/((Reconhecimento!$A$5:$A$310&lt;&gt;"")*ISNUMBER(SEARCH(" "&amp;Reconhecimento!$A$5:$A$310," "&amp;$C125))),Reconhecimento!$B$5:$B$310),"Confira: escolha na importação"))</f>
        <v/>
      </c>
      <c r="H125" s="15">
        <f>IF($C125="","",IFERROR(LOOKUP(2,1/((Reconhecimento!$A$5:$A$310&lt;&gt;"")*ISNUMBER(SEARCH(" "&amp;Reconhecimento!$A$5:$A$310," "&amp;$C125))),Reconhecimento!$C$5:$C$310),"—"))</f>
        <v/>
      </c>
      <c r="I125" s="15">
        <f>IF($C125="","",IFERROR(VLOOKUP($G125,Tipos!$A$5:$B$51,2,FALSE),"—"))</f>
        <v/>
      </c>
      <c r="J125" s="15">
        <f>IF(COUNTA($A125:$C125)=0,"",IF($A125="","Falta a Área",IF($B125="","Falta o Setor",IF($C125="","Falta o nome",IF(COUNTIF($C$6:$C$403,$C125)&gt;1,"Nome repetido: use 01, 02… ou a Qtd",IF(LEFT($G125,7)="Confira","Confira o tipo na importação","OK"))))))</f>
        <v/>
      </c>
    </row>
    <row r="126">
      <c r="A126" s="16" t="n"/>
      <c r="B126" s="16" t="n"/>
      <c r="C126" s="16" t="n"/>
      <c r="D126" s="16" t="n"/>
      <c r="E126" s="17" t="n"/>
      <c r="F126" s="16" t="n"/>
      <c r="G126" s="15">
        <f>IF($C126="","",IFERROR(LOOKUP(2,1/((Reconhecimento!$A$5:$A$310&lt;&gt;"")*ISNUMBER(SEARCH(" "&amp;Reconhecimento!$A$5:$A$310," "&amp;$C126))),Reconhecimento!$B$5:$B$310),"Confira: escolha na importação"))</f>
        <v/>
      </c>
      <c r="H126" s="15">
        <f>IF($C126="","",IFERROR(LOOKUP(2,1/((Reconhecimento!$A$5:$A$310&lt;&gt;"")*ISNUMBER(SEARCH(" "&amp;Reconhecimento!$A$5:$A$310," "&amp;$C126))),Reconhecimento!$C$5:$C$310),"—"))</f>
        <v/>
      </c>
      <c r="I126" s="15">
        <f>IF($C126="","",IFERROR(VLOOKUP($G126,Tipos!$A$5:$B$51,2,FALSE),"—"))</f>
        <v/>
      </c>
      <c r="J126" s="15">
        <f>IF(COUNTA($A126:$C126)=0,"",IF($A126="","Falta a Área",IF($B126="","Falta o Setor",IF($C126="","Falta o nome",IF(COUNTIF($C$6:$C$403,$C126)&gt;1,"Nome repetido: use 01, 02… ou a Qtd",IF(LEFT($G126,7)="Confira","Confira o tipo na importação","OK"))))))</f>
        <v/>
      </c>
    </row>
    <row r="127">
      <c r="A127" s="16" t="n"/>
      <c r="B127" s="16" t="n"/>
      <c r="C127" s="16" t="n"/>
      <c r="D127" s="16" t="n"/>
      <c r="E127" s="17" t="n"/>
      <c r="F127" s="16" t="n"/>
      <c r="G127" s="15">
        <f>IF($C127="","",IFERROR(LOOKUP(2,1/((Reconhecimento!$A$5:$A$310&lt;&gt;"")*ISNUMBER(SEARCH(" "&amp;Reconhecimento!$A$5:$A$310," "&amp;$C127))),Reconhecimento!$B$5:$B$310),"Confira: escolha na importação"))</f>
        <v/>
      </c>
      <c r="H127" s="15">
        <f>IF($C127="","",IFERROR(LOOKUP(2,1/((Reconhecimento!$A$5:$A$310&lt;&gt;"")*ISNUMBER(SEARCH(" "&amp;Reconhecimento!$A$5:$A$310," "&amp;$C127))),Reconhecimento!$C$5:$C$310),"—"))</f>
        <v/>
      </c>
      <c r="I127" s="15">
        <f>IF($C127="","",IFERROR(VLOOKUP($G127,Tipos!$A$5:$B$51,2,FALSE),"—"))</f>
        <v/>
      </c>
      <c r="J127" s="15">
        <f>IF(COUNTA($A127:$C127)=0,"",IF($A127="","Falta a Área",IF($B127="","Falta o Setor",IF($C127="","Falta o nome",IF(COUNTIF($C$6:$C$403,$C127)&gt;1,"Nome repetido: use 01, 02… ou a Qtd",IF(LEFT($G127,7)="Confira","Confira o tipo na importação","OK"))))))</f>
        <v/>
      </c>
    </row>
    <row r="128">
      <c r="A128" s="16" t="n"/>
      <c r="B128" s="16" t="n"/>
      <c r="C128" s="16" t="n"/>
      <c r="D128" s="16" t="n"/>
      <c r="E128" s="17" t="n"/>
      <c r="F128" s="16" t="n"/>
      <c r="G128" s="15">
        <f>IF($C128="","",IFERROR(LOOKUP(2,1/((Reconhecimento!$A$5:$A$310&lt;&gt;"")*ISNUMBER(SEARCH(" "&amp;Reconhecimento!$A$5:$A$310," "&amp;$C128))),Reconhecimento!$B$5:$B$310),"Confira: escolha na importação"))</f>
        <v/>
      </c>
      <c r="H128" s="15">
        <f>IF($C128="","",IFERROR(LOOKUP(2,1/((Reconhecimento!$A$5:$A$310&lt;&gt;"")*ISNUMBER(SEARCH(" "&amp;Reconhecimento!$A$5:$A$310," "&amp;$C128))),Reconhecimento!$C$5:$C$310),"—"))</f>
        <v/>
      </c>
      <c r="I128" s="15">
        <f>IF($C128="","",IFERROR(VLOOKUP($G128,Tipos!$A$5:$B$51,2,FALSE),"—"))</f>
        <v/>
      </c>
      <c r="J128" s="15">
        <f>IF(COUNTA($A128:$C128)=0,"",IF($A128="","Falta a Área",IF($B128="","Falta o Setor",IF($C128="","Falta o nome",IF(COUNTIF($C$6:$C$403,$C128)&gt;1,"Nome repetido: use 01, 02… ou a Qtd",IF(LEFT($G128,7)="Confira","Confira o tipo na importação","OK"))))))</f>
        <v/>
      </c>
    </row>
    <row r="129">
      <c r="A129" s="16" t="n"/>
      <c r="B129" s="16" t="n"/>
      <c r="C129" s="16" t="n"/>
      <c r="D129" s="16" t="n"/>
      <c r="E129" s="17" t="n"/>
      <c r="F129" s="16" t="n"/>
      <c r="G129" s="15">
        <f>IF($C129="","",IFERROR(LOOKUP(2,1/((Reconhecimento!$A$5:$A$310&lt;&gt;"")*ISNUMBER(SEARCH(" "&amp;Reconhecimento!$A$5:$A$310," "&amp;$C129))),Reconhecimento!$B$5:$B$310),"Confira: escolha na importação"))</f>
        <v/>
      </c>
      <c r="H129" s="15">
        <f>IF($C129="","",IFERROR(LOOKUP(2,1/((Reconhecimento!$A$5:$A$310&lt;&gt;"")*ISNUMBER(SEARCH(" "&amp;Reconhecimento!$A$5:$A$310," "&amp;$C129))),Reconhecimento!$C$5:$C$310),"—"))</f>
        <v/>
      </c>
      <c r="I129" s="15">
        <f>IF($C129="","",IFERROR(VLOOKUP($G129,Tipos!$A$5:$B$51,2,FALSE),"—"))</f>
        <v/>
      </c>
      <c r="J129" s="15">
        <f>IF(COUNTA($A129:$C129)=0,"",IF($A129="","Falta a Área",IF($B129="","Falta o Setor",IF($C129="","Falta o nome",IF(COUNTIF($C$6:$C$403,$C129)&gt;1,"Nome repetido: use 01, 02… ou a Qtd",IF(LEFT($G129,7)="Confira","Confira o tipo na importação","OK"))))))</f>
        <v/>
      </c>
    </row>
    <row r="130">
      <c r="A130" s="16" t="n"/>
      <c r="B130" s="16" t="n"/>
      <c r="C130" s="16" t="n"/>
      <c r="D130" s="16" t="n"/>
      <c r="E130" s="17" t="n"/>
      <c r="F130" s="16" t="n"/>
      <c r="G130" s="15">
        <f>IF($C130="","",IFERROR(LOOKUP(2,1/((Reconhecimento!$A$5:$A$310&lt;&gt;"")*ISNUMBER(SEARCH(" "&amp;Reconhecimento!$A$5:$A$310," "&amp;$C130))),Reconhecimento!$B$5:$B$310),"Confira: escolha na importação"))</f>
        <v/>
      </c>
      <c r="H130" s="15">
        <f>IF($C130="","",IFERROR(LOOKUP(2,1/((Reconhecimento!$A$5:$A$310&lt;&gt;"")*ISNUMBER(SEARCH(" "&amp;Reconhecimento!$A$5:$A$310," "&amp;$C130))),Reconhecimento!$C$5:$C$310),"—"))</f>
        <v/>
      </c>
      <c r="I130" s="15">
        <f>IF($C130="","",IFERROR(VLOOKUP($G130,Tipos!$A$5:$B$51,2,FALSE),"—"))</f>
        <v/>
      </c>
      <c r="J130" s="15">
        <f>IF(COUNTA($A130:$C130)=0,"",IF($A130="","Falta a Área",IF($B130="","Falta o Setor",IF($C130="","Falta o nome",IF(COUNTIF($C$6:$C$403,$C130)&gt;1,"Nome repetido: use 01, 02… ou a Qtd",IF(LEFT($G130,7)="Confira","Confira o tipo na importação","OK"))))))</f>
        <v/>
      </c>
    </row>
    <row r="131">
      <c r="A131" s="16" t="n"/>
      <c r="B131" s="16" t="n"/>
      <c r="C131" s="16" t="n"/>
      <c r="D131" s="16" t="n"/>
      <c r="E131" s="17" t="n"/>
      <c r="F131" s="16" t="n"/>
      <c r="G131" s="15">
        <f>IF($C131="","",IFERROR(LOOKUP(2,1/((Reconhecimento!$A$5:$A$310&lt;&gt;"")*ISNUMBER(SEARCH(" "&amp;Reconhecimento!$A$5:$A$310," "&amp;$C131))),Reconhecimento!$B$5:$B$310),"Confira: escolha na importação"))</f>
        <v/>
      </c>
      <c r="H131" s="15">
        <f>IF($C131="","",IFERROR(LOOKUP(2,1/((Reconhecimento!$A$5:$A$310&lt;&gt;"")*ISNUMBER(SEARCH(" "&amp;Reconhecimento!$A$5:$A$310," "&amp;$C131))),Reconhecimento!$C$5:$C$310),"—"))</f>
        <v/>
      </c>
      <c r="I131" s="15">
        <f>IF($C131="","",IFERROR(VLOOKUP($G131,Tipos!$A$5:$B$51,2,FALSE),"—"))</f>
        <v/>
      </c>
      <c r="J131" s="15">
        <f>IF(COUNTA($A131:$C131)=0,"",IF($A131="","Falta a Área",IF($B131="","Falta o Setor",IF($C131="","Falta o nome",IF(COUNTIF($C$6:$C$403,$C131)&gt;1,"Nome repetido: use 01, 02… ou a Qtd",IF(LEFT($G131,7)="Confira","Confira o tipo na importação","OK"))))))</f>
        <v/>
      </c>
    </row>
    <row r="132">
      <c r="A132" s="16" t="n"/>
      <c r="B132" s="16" t="n"/>
      <c r="C132" s="16" t="n"/>
      <c r="D132" s="16" t="n"/>
      <c r="E132" s="17" t="n"/>
      <c r="F132" s="16" t="n"/>
      <c r="G132" s="15">
        <f>IF($C132="","",IFERROR(LOOKUP(2,1/((Reconhecimento!$A$5:$A$310&lt;&gt;"")*ISNUMBER(SEARCH(" "&amp;Reconhecimento!$A$5:$A$310," "&amp;$C132))),Reconhecimento!$B$5:$B$310),"Confira: escolha na importação"))</f>
        <v/>
      </c>
      <c r="H132" s="15">
        <f>IF($C132="","",IFERROR(LOOKUP(2,1/((Reconhecimento!$A$5:$A$310&lt;&gt;"")*ISNUMBER(SEARCH(" "&amp;Reconhecimento!$A$5:$A$310," "&amp;$C132))),Reconhecimento!$C$5:$C$310),"—"))</f>
        <v/>
      </c>
      <c r="I132" s="15">
        <f>IF($C132="","",IFERROR(VLOOKUP($G132,Tipos!$A$5:$B$51,2,FALSE),"—"))</f>
        <v/>
      </c>
      <c r="J132" s="15">
        <f>IF(COUNTA($A132:$C132)=0,"",IF($A132="","Falta a Área",IF($B132="","Falta o Setor",IF($C132="","Falta o nome",IF(COUNTIF($C$6:$C$403,$C132)&gt;1,"Nome repetido: use 01, 02… ou a Qtd",IF(LEFT($G132,7)="Confira","Confira o tipo na importação","OK"))))))</f>
        <v/>
      </c>
    </row>
    <row r="133">
      <c r="A133" s="16" t="n"/>
      <c r="B133" s="16" t="n"/>
      <c r="C133" s="16" t="n"/>
      <c r="D133" s="16" t="n"/>
      <c r="E133" s="17" t="n"/>
      <c r="F133" s="16" t="n"/>
      <c r="G133" s="15">
        <f>IF($C133="","",IFERROR(LOOKUP(2,1/((Reconhecimento!$A$5:$A$310&lt;&gt;"")*ISNUMBER(SEARCH(" "&amp;Reconhecimento!$A$5:$A$310," "&amp;$C133))),Reconhecimento!$B$5:$B$310),"Confira: escolha na importação"))</f>
        <v/>
      </c>
      <c r="H133" s="15">
        <f>IF($C133="","",IFERROR(LOOKUP(2,1/((Reconhecimento!$A$5:$A$310&lt;&gt;"")*ISNUMBER(SEARCH(" "&amp;Reconhecimento!$A$5:$A$310," "&amp;$C133))),Reconhecimento!$C$5:$C$310),"—"))</f>
        <v/>
      </c>
      <c r="I133" s="15">
        <f>IF($C133="","",IFERROR(VLOOKUP($G133,Tipos!$A$5:$B$51,2,FALSE),"—"))</f>
        <v/>
      </c>
      <c r="J133" s="15">
        <f>IF(COUNTA($A133:$C133)=0,"",IF($A133="","Falta a Área",IF($B133="","Falta o Setor",IF($C133="","Falta o nome",IF(COUNTIF($C$6:$C$403,$C133)&gt;1,"Nome repetido: use 01, 02… ou a Qtd",IF(LEFT($G133,7)="Confira","Confira o tipo na importação","OK"))))))</f>
        <v/>
      </c>
    </row>
    <row r="134">
      <c r="A134" s="16" t="n"/>
      <c r="B134" s="16" t="n"/>
      <c r="C134" s="16" t="n"/>
      <c r="D134" s="16" t="n"/>
      <c r="E134" s="17" t="n"/>
      <c r="F134" s="16" t="n"/>
      <c r="G134" s="15">
        <f>IF($C134="","",IFERROR(LOOKUP(2,1/((Reconhecimento!$A$5:$A$310&lt;&gt;"")*ISNUMBER(SEARCH(" "&amp;Reconhecimento!$A$5:$A$310," "&amp;$C134))),Reconhecimento!$B$5:$B$310),"Confira: escolha na importação"))</f>
        <v/>
      </c>
      <c r="H134" s="15">
        <f>IF($C134="","",IFERROR(LOOKUP(2,1/((Reconhecimento!$A$5:$A$310&lt;&gt;"")*ISNUMBER(SEARCH(" "&amp;Reconhecimento!$A$5:$A$310," "&amp;$C134))),Reconhecimento!$C$5:$C$310),"—"))</f>
        <v/>
      </c>
      <c r="I134" s="15">
        <f>IF($C134="","",IFERROR(VLOOKUP($G134,Tipos!$A$5:$B$51,2,FALSE),"—"))</f>
        <v/>
      </c>
      <c r="J134" s="15">
        <f>IF(COUNTA($A134:$C134)=0,"",IF($A134="","Falta a Área",IF($B134="","Falta o Setor",IF($C134="","Falta o nome",IF(COUNTIF($C$6:$C$403,$C134)&gt;1,"Nome repetido: use 01, 02… ou a Qtd",IF(LEFT($G134,7)="Confira","Confira o tipo na importação","OK"))))))</f>
        <v/>
      </c>
    </row>
    <row r="135">
      <c r="A135" s="16" t="n"/>
      <c r="B135" s="16" t="n"/>
      <c r="C135" s="16" t="n"/>
      <c r="D135" s="16" t="n"/>
      <c r="E135" s="17" t="n"/>
      <c r="F135" s="16" t="n"/>
      <c r="G135" s="15">
        <f>IF($C135="","",IFERROR(LOOKUP(2,1/((Reconhecimento!$A$5:$A$310&lt;&gt;"")*ISNUMBER(SEARCH(" "&amp;Reconhecimento!$A$5:$A$310," "&amp;$C135))),Reconhecimento!$B$5:$B$310),"Confira: escolha na importação"))</f>
        <v/>
      </c>
      <c r="H135" s="15">
        <f>IF($C135="","",IFERROR(LOOKUP(2,1/((Reconhecimento!$A$5:$A$310&lt;&gt;"")*ISNUMBER(SEARCH(" "&amp;Reconhecimento!$A$5:$A$310," "&amp;$C135))),Reconhecimento!$C$5:$C$310),"—"))</f>
        <v/>
      </c>
      <c r="I135" s="15">
        <f>IF($C135="","",IFERROR(VLOOKUP($G135,Tipos!$A$5:$B$51,2,FALSE),"—"))</f>
        <v/>
      </c>
      <c r="J135" s="15">
        <f>IF(COUNTA($A135:$C135)=0,"",IF($A135="","Falta a Área",IF($B135="","Falta o Setor",IF($C135="","Falta o nome",IF(COUNTIF($C$6:$C$403,$C135)&gt;1,"Nome repetido: use 01, 02… ou a Qtd",IF(LEFT($G135,7)="Confira","Confira o tipo na importação","OK"))))))</f>
        <v/>
      </c>
    </row>
    <row r="136">
      <c r="A136" s="16" t="n"/>
      <c r="B136" s="16" t="n"/>
      <c r="C136" s="16" t="n"/>
      <c r="D136" s="16" t="n"/>
      <c r="E136" s="17" t="n"/>
      <c r="F136" s="16" t="n"/>
      <c r="G136" s="15">
        <f>IF($C136="","",IFERROR(LOOKUP(2,1/((Reconhecimento!$A$5:$A$310&lt;&gt;"")*ISNUMBER(SEARCH(" "&amp;Reconhecimento!$A$5:$A$310," "&amp;$C136))),Reconhecimento!$B$5:$B$310),"Confira: escolha na importação"))</f>
        <v/>
      </c>
      <c r="H136" s="15">
        <f>IF($C136="","",IFERROR(LOOKUP(2,1/((Reconhecimento!$A$5:$A$310&lt;&gt;"")*ISNUMBER(SEARCH(" "&amp;Reconhecimento!$A$5:$A$310," "&amp;$C136))),Reconhecimento!$C$5:$C$310),"—"))</f>
        <v/>
      </c>
      <c r="I136" s="15">
        <f>IF($C136="","",IFERROR(VLOOKUP($G136,Tipos!$A$5:$B$51,2,FALSE),"—"))</f>
        <v/>
      </c>
      <c r="J136" s="15">
        <f>IF(COUNTA($A136:$C136)=0,"",IF($A136="","Falta a Área",IF($B136="","Falta o Setor",IF($C136="","Falta o nome",IF(COUNTIF($C$6:$C$403,$C136)&gt;1,"Nome repetido: use 01, 02… ou a Qtd",IF(LEFT($G136,7)="Confira","Confira o tipo na importação","OK"))))))</f>
        <v/>
      </c>
    </row>
    <row r="137">
      <c r="A137" s="16" t="n"/>
      <c r="B137" s="16" t="n"/>
      <c r="C137" s="16" t="n"/>
      <c r="D137" s="16" t="n"/>
      <c r="E137" s="17" t="n"/>
      <c r="F137" s="16" t="n"/>
      <c r="G137" s="15">
        <f>IF($C137="","",IFERROR(LOOKUP(2,1/((Reconhecimento!$A$5:$A$310&lt;&gt;"")*ISNUMBER(SEARCH(" "&amp;Reconhecimento!$A$5:$A$310," "&amp;$C137))),Reconhecimento!$B$5:$B$310),"Confira: escolha na importação"))</f>
        <v/>
      </c>
      <c r="H137" s="15">
        <f>IF($C137="","",IFERROR(LOOKUP(2,1/((Reconhecimento!$A$5:$A$310&lt;&gt;"")*ISNUMBER(SEARCH(" "&amp;Reconhecimento!$A$5:$A$310," "&amp;$C137))),Reconhecimento!$C$5:$C$310),"—"))</f>
        <v/>
      </c>
      <c r="I137" s="15">
        <f>IF($C137="","",IFERROR(VLOOKUP($G137,Tipos!$A$5:$B$51,2,FALSE),"—"))</f>
        <v/>
      </c>
      <c r="J137" s="15">
        <f>IF(COUNTA($A137:$C137)=0,"",IF($A137="","Falta a Área",IF($B137="","Falta o Setor",IF($C137="","Falta o nome",IF(COUNTIF($C$6:$C$403,$C137)&gt;1,"Nome repetido: use 01, 02… ou a Qtd",IF(LEFT($G137,7)="Confira","Confira o tipo na importação","OK"))))))</f>
        <v/>
      </c>
    </row>
    <row r="138">
      <c r="A138" s="16" t="n"/>
      <c r="B138" s="16" t="n"/>
      <c r="C138" s="16" t="n"/>
      <c r="D138" s="16" t="n"/>
      <c r="E138" s="17" t="n"/>
      <c r="F138" s="16" t="n"/>
      <c r="G138" s="15">
        <f>IF($C138="","",IFERROR(LOOKUP(2,1/((Reconhecimento!$A$5:$A$310&lt;&gt;"")*ISNUMBER(SEARCH(" "&amp;Reconhecimento!$A$5:$A$310," "&amp;$C138))),Reconhecimento!$B$5:$B$310),"Confira: escolha na importação"))</f>
        <v/>
      </c>
      <c r="H138" s="15">
        <f>IF($C138="","",IFERROR(LOOKUP(2,1/((Reconhecimento!$A$5:$A$310&lt;&gt;"")*ISNUMBER(SEARCH(" "&amp;Reconhecimento!$A$5:$A$310," "&amp;$C138))),Reconhecimento!$C$5:$C$310),"—"))</f>
        <v/>
      </c>
      <c r="I138" s="15">
        <f>IF($C138="","",IFERROR(VLOOKUP($G138,Tipos!$A$5:$B$51,2,FALSE),"—"))</f>
        <v/>
      </c>
      <c r="J138" s="15">
        <f>IF(COUNTA($A138:$C138)=0,"",IF($A138="","Falta a Área",IF($B138="","Falta o Setor",IF($C138="","Falta o nome",IF(COUNTIF($C$6:$C$403,$C138)&gt;1,"Nome repetido: use 01, 02… ou a Qtd",IF(LEFT($G138,7)="Confira","Confira o tipo na importação","OK"))))))</f>
        <v/>
      </c>
    </row>
    <row r="139">
      <c r="A139" s="16" t="n"/>
      <c r="B139" s="16" t="n"/>
      <c r="C139" s="16" t="n"/>
      <c r="D139" s="16" t="n"/>
      <c r="E139" s="17" t="n"/>
      <c r="F139" s="16" t="n"/>
      <c r="G139" s="15">
        <f>IF($C139="","",IFERROR(LOOKUP(2,1/((Reconhecimento!$A$5:$A$310&lt;&gt;"")*ISNUMBER(SEARCH(" "&amp;Reconhecimento!$A$5:$A$310," "&amp;$C139))),Reconhecimento!$B$5:$B$310),"Confira: escolha na importação"))</f>
        <v/>
      </c>
      <c r="H139" s="15">
        <f>IF($C139="","",IFERROR(LOOKUP(2,1/((Reconhecimento!$A$5:$A$310&lt;&gt;"")*ISNUMBER(SEARCH(" "&amp;Reconhecimento!$A$5:$A$310," "&amp;$C139))),Reconhecimento!$C$5:$C$310),"—"))</f>
        <v/>
      </c>
      <c r="I139" s="15">
        <f>IF($C139="","",IFERROR(VLOOKUP($G139,Tipos!$A$5:$B$51,2,FALSE),"—"))</f>
        <v/>
      </c>
      <c r="J139" s="15">
        <f>IF(COUNTA($A139:$C139)=0,"",IF($A139="","Falta a Área",IF($B139="","Falta o Setor",IF($C139="","Falta o nome",IF(COUNTIF($C$6:$C$403,$C139)&gt;1,"Nome repetido: use 01, 02… ou a Qtd",IF(LEFT($G139,7)="Confira","Confira o tipo na importação","OK"))))))</f>
        <v/>
      </c>
    </row>
    <row r="140">
      <c r="A140" s="16" t="n"/>
      <c r="B140" s="16" t="n"/>
      <c r="C140" s="16" t="n"/>
      <c r="D140" s="16" t="n"/>
      <c r="E140" s="17" t="n"/>
      <c r="F140" s="16" t="n"/>
      <c r="G140" s="15">
        <f>IF($C140="","",IFERROR(LOOKUP(2,1/((Reconhecimento!$A$5:$A$310&lt;&gt;"")*ISNUMBER(SEARCH(" "&amp;Reconhecimento!$A$5:$A$310," "&amp;$C140))),Reconhecimento!$B$5:$B$310),"Confira: escolha na importação"))</f>
        <v/>
      </c>
      <c r="H140" s="15">
        <f>IF($C140="","",IFERROR(LOOKUP(2,1/((Reconhecimento!$A$5:$A$310&lt;&gt;"")*ISNUMBER(SEARCH(" "&amp;Reconhecimento!$A$5:$A$310," "&amp;$C140))),Reconhecimento!$C$5:$C$310),"—"))</f>
        <v/>
      </c>
      <c r="I140" s="15">
        <f>IF($C140="","",IFERROR(VLOOKUP($G140,Tipos!$A$5:$B$51,2,FALSE),"—"))</f>
        <v/>
      </c>
      <c r="J140" s="15">
        <f>IF(COUNTA($A140:$C140)=0,"",IF($A140="","Falta a Área",IF($B140="","Falta o Setor",IF($C140="","Falta o nome",IF(COUNTIF($C$6:$C$403,$C140)&gt;1,"Nome repetido: use 01, 02… ou a Qtd",IF(LEFT($G140,7)="Confira","Confira o tipo na importação","OK"))))))</f>
        <v/>
      </c>
    </row>
    <row r="141">
      <c r="A141" s="16" t="n"/>
      <c r="B141" s="16" t="n"/>
      <c r="C141" s="16" t="n"/>
      <c r="D141" s="16" t="n"/>
      <c r="E141" s="17" t="n"/>
      <c r="F141" s="16" t="n"/>
      <c r="G141" s="15">
        <f>IF($C141="","",IFERROR(LOOKUP(2,1/((Reconhecimento!$A$5:$A$310&lt;&gt;"")*ISNUMBER(SEARCH(" "&amp;Reconhecimento!$A$5:$A$310," "&amp;$C141))),Reconhecimento!$B$5:$B$310),"Confira: escolha na importação"))</f>
        <v/>
      </c>
      <c r="H141" s="15">
        <f>IF($C141="","",IFERROR(LOOKUP(2,1/((Reconhecimento!$A$5:$A$310&lt;&gt;"")*ISNUMBER(SEARCH(" "&amp;Reconhecimento!$A$5:$A$310," "&amp;$C141))),Reconhecimento!$C$5:$C$310),"—"))</f>
        <v/>
      </c>
      <c r="I141" s="15">
        <f>IF($C141="","",IFERROR(VLOOKUP($G141,Tipos!$A$5:$B$51,2,FALSE),"—"))</f>
        <v/>
      </c>
      <c r="J141" s="15">
        <f>IF(COUNTA($A141:$C141)=0,"",IF($A141="","Falta a Área",IF($B141="","Falta o Setor",IF($C141="","Falta o nome",IF(COUNTIF($C$6:$C$403,$C141)&gt;1,"Nome repetido: use 01, 02… ou a Qtd",IF(LEFT($G141,7)="Confira","Confira o tipo na importação","OK"))))))</f>
        <v/>
      </c>
    </row>
    <row r="142">
      <c r="A142" s="16" t="n"/>
      <c r="B142" s="16" t="n"/>
      <c r="C142" s="16" t="n"/>
      <c r="D142" s="16" t="n"/>
      <c r="E142" s="17" t="n"/>
      <c r="F142" s="16" t="n"/>
      <c r="G142" s="15">
        <f>IF($C142="","",IFERROR(LOOKUP(2,1/((Reconhecimento!$A$5:$A$310&lt;&gt;"")*ISNUMBER(SEARCH(" "&amp;Reconhecimento!$A$5:$A$310," "&amp;$C142))),Reconhecimento!$B$5:$B$310),"Confira: escolha na importação"))</f>
        <v/>
      </c>
      <c r="H142" s="15">
        <f>IF($C142="","",IFERROR(LOOKUP(2,1/((Reconhecimento!$A$5:$A$310&lt;&gt;"")*ISNUMBER(SEARCH(" "&amp;Reconhecimento!$A$5:$A$310," "&amp;$C142))),Reconhecimento!$C$5:$C$310),"—"))</f>
        <v/>
      </c>
      <c r="I142" s="15">
        <f>IF($C142="","",IFERROR(VLOOKUP($G142,Tipos!$A$5:$B$51,2,FALSE),"—"))</f>
        <v/>
      </c>
      <c r="J142" s="15">
        <f>IF(COUNTA($A142:$C142)=0,"",IF($A142="","Falta a Área",IF($B142="","Falta o Setor",IF($C142="","Falta o nome",IF(COUNTIF($C$6:$C$403,$C142)&gt;1,"Nome repetido: use 01, 02… ou a Qtd",IF(LEFT($G142,7)="Confira","Confira o tipo na importação","OK"))))))</f>
        <v/>
      </c>
    </row>
    <row r="143">
      <c r="A143" s="16" t="n"/>
      <c r="B143" s="16" t="n"/>
      <c r="C143" s="16" t="n"/>
      <c r="D143" s="16" t="n"/>
      <c r="E143" s="17" t="n"/>
      <c r="F143" s="16" t="n"/>
      <c r="G143" s="15">
        <f>IF($C143="","",IFERROR(LOOKUP(2,1/((Reconhecimento!$A$5:$A$310&lt;&gt;"")*ISNUMBER(SEARCH(" "&amp;Reconhecimento!$A$5:$A$310," "&amp;$C143))),Reconhecimento!$B$5:$B$310),"Confira: escolha na importação"))</f>
        <v/>
      </c>
      <c r="H143" s="15">
        <f>IF($C143="","",IFERROR(LOOKUP(2,1/((Reconhecimento!$A$5:$A$310&lt;&gt;"")*ISNUMBER(SEARCH(" "&amp;Reconhecimento!$A$5:$A$310," "&amp;$C143))),Reconhecimento!$C$5:$C$310),"—"))</f>
        <v/>
      </c>
      <c r="I143" s="15">
        <f>IF($C143="","",IFERROR(VLOOKUP($G143,Tipos!$A$5:$B$51,2,FALSE),"—"))</f>
        <v/>
      </c>
      <c r="J143" s="15">
        <f>IF(COUNTA($A143:$C143)=0,"",IF($A143="","Falta a Área",IF($B143="","Falta o Setor",IF($C143="","Falta o nome",IF(COUNTIF($C$6:$C$403,$C143)&gt;1,"Nome repetido: use 01, 02… ou a Qtd",IF(LEFT($G143,7)="Confira","Confira o tipo na importação","OK"))))))</f>
        <v/>
      </c>
    </row>
    <row r="144">
      <c r="A144" s="16" t="n"/>
      <c r="B144" s="16" t="n"/>
      <c r="C144" s="16" t="n"/>
      <c r="D144" s="16" t="n"/>
      <c r="E144" s="17" t="n"/>
      <c r="F144" s="16" t="n"/>
      <c r="G144" s="15">
        <f>IF($C144="","",IFERROR(LOOKUP(2,1/((Reconhecimento!$A$5:$A$310&lt;&gt;"")*ISNUMBER(SEARCH(" "&amp;Reconhecimento!$A$5:$A$310," "&amp;$C144))),Reconhecimento!$B$5:$B$310),"Confira: escolha na importação"))</f>
        <v/>
      </c>
      <c r="H144" s="15">
        <f>IF($C144="","",IFERROR(LOOKUP(2,1/((Reconhecimento!$A$5:$A$310&lt;&gt;"")*ISNUMBER(SEARCH(" "&amp;Reconhecimento!$A$5:$A$310," "&amp;$C144))),Reconhecimento!$C$5:$C$310),"—"))</f>
        <v/>
      </c>
      <c r="I144" s="15">
        <f>IF($C144="","",IFERROR(VLOOKUP($G144,Tipos!$A$5:$B$51,2,FALSE),"—"))</f>
        <v/>
      </c>
      <c r="J144" s="15">
        <f>IF(COUNTA($A144:$C144)=0,"",IF($A144="","Falta a Área",IF($B144="","Falta o Setor",IF($C144="","Falta o nome",IF(COUNTIF($C$6:$C$403,$C144)&gt;1,"Nome repetido: use 01, 02… ou a Qtd",IF(LEFT($G144,7)="Confira","Confira o tipo na importação","OK"))))))</f>
        <v/>
      </c>
    </row>
    <row r="145">
      <c r="A145" s="16" t="n"/>
      <c r="B145" s="16" t="n"/>
      <c r="C145" s="16" t="n"/>
      <c r="D145" s="16" t="n"/>
      <c r="E145" s="17" t="n"/>
      <c r="F145" s="16" t="n"/>
      <c r="G145" s="15">
        <f>IF($C145="","",IFERROR(LOOKUP(2,1/((Reconhecimento!$A$5:$A$310&lt;&gt;"")*ISNUMBER(SEARCH(" "&amp;Reconhecimento!$A$5:$A$310," "&amp;$C145))),Reconhecimento!$B$5:$B$310),"Confira: escolha na importação"))</f>
        <v/>
      </c>
      <c r="H145" s="15">
        <f>IF($C145="","",IFERROR(LOOKUP(2,1/((Reconhecimento!$A$5:$A$310&lt;&gt;"")*ISNUMBER(SEARCH(" "&amp;Reconhecimento!$A$5:$A$310," "&amp;$C145))),Reconhecimento!$C$5:$C$310),"—"))</f>
        <v/>
      </c>
      <c r="I145" s="15">
        <f>IF($C145="","",IFERROR(VLOOKUP($G145,Tipos!$A$5:$B$51,2,FALSE),"—"))</f>
        <v/>
      </c>
      <c r="J145" s="15">
        <f>IF(COUNTA($A145:$C145)=0,"",IF($A145="","Falta a Área",IF($B145="","Falta o Setor",IF($C145="","Falta o nome",IF(COUNTIF($C$6:$C$403,$C145)&gt;1,"Nome repetido: use 01, 02… ou a Qtd",IF(LEFT($G145,7)="Confira","Confira o tipo na importação","OK"))))))</f>
        <v/>
      </c>
    </row>
    <row r="146">
      <c r="A146" s="16" t="n"/>
      <c r="B146" s="16" t="n"/>
      <c r="C146" s="16" t="n"/>
      <c r="D146" s="16" t="n"/>
      <c r="E146" s="17" t="n"/>
      <c r="F146" s="16" t="n"/>
      <c r="G146" s="15">
        <f>IF($C146="","",IFERROR(LOOKUP(2,1/((Reconhecimento!$A$5:$A$310&lt;&gt;"")*ISNUMBER(SEARCH(" "&amp;Reconhecimento!$A$5:$A$310," "&amp;$C146))),Reconhecimento!$B$5:$B$310),"Confira: escolha na importação"))</f>
        <v/>
      </c>
      <c r="H146" s="15">
        <f>IF($C146="","",IFERROR(LOOKUP(2,1/((Reconhecimento!$A$5:$A$310&lt;&gt;"")*ISNUMBER(SEARCH(" "&amp;Reconhecimento!$A$5:$A$310," "&amp;$C146))),Reconhecimento!$C$5:$C$310),"—"))</f>
        <v/>
      </c>
      <c r="I146" s="15">
        <f>IF($C146="","",IFERROR(VLOOKUP($G146,Tipos!$A$5:$B$51,2,FALSE),"—"))</f>
        <v/>
      </c>
      <c r="J146" s="15">
        <f>IF(COUNTA($A146:$C146)=0,"",IF($A146="","Falta a Área",IF($B146="","Falta o Setor",IF($C146="","Falta o nome",IF(COUNTIF($C$6:$C$403,$C146)&gt;1,"Nome repetido: use 01, 02… ou a Qtd",IF(LEFT($G146,7)="Confira","Confira o tipo na importação","OK"))))))</f>
        <v/>
      </c>
    </row>
    <row r="147">
      <c r="A147" s="16" t="n"/>
      <c r="B147" s="16" t="n"/>
      <c r="C147" s="16" t="n"/>
      <c r="D147" s="16" t="n"/>
      <c r="E147" s="17" t="n"/>
      <c r="F147" s="16" t="n"/>
      <c r="G147" s="15">
        <f>IF($C147="","",IFERROR(LOOKUP(2,1/((Reconhecimento!$A$5:$A$310&lt;&gt;"")*ISNUMBER(SEARCH(" "&amp;Reconhecimento!$A$5:$A$310," "&amp;$C147))),Reconhecimento!$B$5:$B$310),"Confira: escolha na importação"))</f>
        <v/>
      </c>
      <c r="H147" s="15">
        <f>IF($C147="","",IFERROR(LOOKUP(2,1/((Reconhecimento!$A$5:$A$310&lt;&gt;"")*ISNUMBER(SEARCH(" "&amp;Reconhecimento!$A$5:$A$310," "&amp;$C147))),Reconhecimento!$C$5:$C$310),"—"))</f>
        <v/>
      </c>
      <c r="I147" s="15">
        <f>IF($C147="","",IFERROR(VLOOKUP($G147,Tipos!$A$5:$B$51,2,FALSE),"—"))</f>
        <v/>
      </c>
      <c r="J147" s="15">
        <f>IF(COUNTA($A147:$C147)=0,"",IF($A147="","Falta a Área",IF($B147="","Falta o Setor",IF($C147="","Falta o nome",IF(COUNTIF($C$6:$C$403,$C147)&gt;1,"Nome repetido: use 01, 02… ou a Qtd",IF(LEFT($G147,7)="Confira","Confira o tipo na importação","OK"))))))</f>
        <v/>
      </c>
    </row>
    <row r="148">
      <c r="A148" s="16" t="n"/>
      <c r="B148" s="16" t="n"/>
      <c r="C148" s="16" t="n"/>
      <c r="D148" s="16" t="n"/>
      <c r="E148" s="17" t="n"/>
      <c r="F148" s="16" t="n"/>
      <c r="G148" s="15">
        <f>IF($C148="","",IFERROR(LOOKUP(2,1/((Reconhecimento!$A$5:$A$310&lt;&gt;"")*ISNUMBER(SEARCH(" "&amp;Reconhecimento!$A$5:$A$310," "&amp;$C148))),Reconhecimento!$B$5:$B$310),"Confira: escolha na importação"))</f>
        <v/>
      </c>
      <c r="H148" s="15">
        <f>IF($C148="","",IFERROR(LOOKUP(2,1/((Reconhecimento!$A$5:$A$310&lt;&gt;"")*ISNUMBER(SEARCH(" "&amp;Reconhecimento!$A$5:$A$310," "&amp;$C148))),Reconhecimento!$C$5:$C$310),"—"))</f>
        <v/>
      </c>
      <c r="I148" s="15">
        <f>IF($C148="","",IFERROR(VLOOKUP($G148,Tipos!$A$5:$B$51,2,FALSE),"—"))</f>
        <v/>
      </c>
      <c r="J148" s="15">
        <f>IF(COUNTA($A148:$C148)=0,"",IF($A148="","Falta a Área",IF($B148="","Falta o Setor",IF($C148="","Falta o nome",IF(COUNTIF($C$6:$C$403,$C148)&gt;1,"Nome repetido: use 01, 02… ou a Qtd",IF(LEFT($G148,7)="Confira","Confira o tipo na importação","OK"))))))</f>
        <v/>
      </c>
    </row>
    <row r="149">
      <c r="A149" s="16" t="n"/>
      <c r="B149" s="16" t="n"/>
      <c r="C149" s="16" t="n"/>
      <c r="D149" s="16" t="n"/>
      <c r="E149" s="17" t="n"/>
      <c r="F149" s="16" t="n"/>
      <c r="G149" s="15">
        <f>IF($C149="","",IFERROR(LOOKUP(2,1/((Reconhecimento!$A$5:$A$310&lt;&gt;"")*ISNUMBER(SEARCH(" "&amp;Reconhecimento!$A$5:$A$310," "&amp;$C149))),Reconhecimento!$B$5:$B$310),"Confira: escolha na importação"))</f>
        <v/>
      </c>
      <c r="H149" s="15">
        <f>IF($C149="","",IFERROR(LOOKUP(2,1/((Reconhecimento!$A$5:$A$310&lt;&gt;"")*ISNUMBER(SEARCH(" "&amp;Reconhecimento!$A$5:$A$310," "&amp;$C149))),Reconhecimento!$C$5:$C$310),"—"))</f>
        <v/>
      </c>
      <c r="I149" s="15">
        <f>IF($C149="","",IFERROR(VLOOKUP($G149,Tipos!$A$5:$B$51,2,FALSE),"—"))</f>
        <v/>
      </c>
      <c r="J149" s="15">
        <f>IF(COUNTA($A149:$C149)=0,"",IF($A149="","Falta a Área",IF($B149="","Falta o Setor",IF($C149="","Falta o nome",IF(COUNTIF($C$6:$C$403,$C149)&gt;1,"Nome repetido: use 01, 02… ou a Qtd",IF(LEFT($G149,7)="Confira","Confira o tipo na importação","OK"))))))</f>
        <v/>
      </c>
    </row>
    <row r="150">
      <c r="A150" s="16" t="n"/>
      <c r="B150" s="16" t="n"/>
      <c r="C150" s="16" t="n"/>
      <c r="D150" s="16" t="n"/>
      <c r="E150" s="17" t="n"/>
      <c r="F150" s="16" t="n"/>
      <c r="G150" s="15">
        <f>IF($C150="","",IFERROR(LOOKUP(2,1/((Reconhecimento!$A$5:$A$310&lt;&gt;"")*ISNUMBER(SEARCH(" "&amp;Reconhecimento!$A$5:$A$310," "&amp;$C150))),Reconhecimento!$B$5:$B$310),"Confira: escolha na importação"))</f>
        <v/>
      </c>
      <c r="H150" s="15">
        <f>IF($C150="","",IFERROR(LOOKUP(2,1/((Reconhecimento!$A$5:$A$310&lt;&gt;"")*ISNUMBER(SEARCH(" "&amp;Reconhecimento!$A$5:$A$310," "&amp;$C150))),Reconhecimento!$C$5:$C$310),"—"))</f>
        <v/>
      </c>
      <c r="I150" s="15">
        <f>IF($C150="","",IFERROR(VLOOKUP($G150,Tipos!$A$5:$B$51,2,FALSE),"—"))</f>
        <v/>
      </c>
      <c r="J150" s="15">
        <f>IF(COUNTA($A150:$C150)=0,"",IF($A150="","Falta a Área",IF($B150="","Falta o Setor",IF($C150="","Falta o nome",IF(COUNTIF($C$6:$C$403,$C150)&gt;1,"Nome repetido: use 01, 02… ou a Qtd",IF(LEFT($G150,7)="Confira","Confira o tipo na importação","OK"))))))</f>
        <v/>
      </c>
    </row>
    <row r="151">
      <c r="A151" s="16" t="n"/>
      <c r="B151" s="16" t="n"/>
      <c r="C151" s="16" t="n"/>
      <c r="D151" s="16" t="n"/>
      <c r="E151" s="17" t="n"/>
      <c r="F151" s="16" t="n"/>
      <c r="G151" s="15">
        <f>IF($C151="","",IFERROR(LOOKUP(2,1/((Reconhecimento!$A$5:$A$310&lt;&gt;"")*ISNUMBER(SEARCH(" "&amp;Reconhecimento!$A$5:$A$310," "&amp;$C151))),Reconhecimento!$B$5:$B$310),"Confira: escolha na importação"))</f>
        <v/>
      </c>
      <c r="H151" s="15">
        <f>IF($C151="","",IFERROR(LOOKUP(2,1/((Reconhecimento!$A$5:$A$310&lt;&gt;"")*ISNUMBER(SEARCH(" "&amp;Reconhecimento!$A$5:$A$310," "&amp;$C151))),Reconhecimento!$C$5:$C$310),"—"))</f>
        <v/>
      </c>
      <c r="I151" s="15">
        <f>IF($C151="","",IFERROR(VLOOKUP($G151,Tipos!$A$5:$B$51,2,FALSE),"—"))</f>
        <v/>
      </c>
      <c r="J151" s="15">
        <f>IF(COUNTA($A151:$C151)=0,"",IF($A151="","Falta a Área",IF($B151="","Falta o Setor",IF($C151="","Falta o nome",IF(COUNTIF($C$6:$C$403,$C151)&gt;1,"Nome repetido: use 01, 02… ou a Qtd",IF(LEFT($G151,7)="Confira","Confira o tipo na importação","OK"))))))</f>
        <v/>
      </c>
    </row>
    <row r="152">
      <c r="A152" s="16" t="n"/>
      <c r="B152" s="16" t="n"/>
      <c r="C152" s="16" t="n"/>
      <c r="D152" s="16" t="n"/>
      <c r="E152" s="17" t="n"/>
      <c r="F152" s="16" t="n"/>
      <c r="G152" s="15">
        <f>IF($C152="","",IFERROR(LOOKUP(2,1/((Reconhecimento!$A$5:$A$310&lt;&gt;"")*ISNUMBER(SEARCH(" "&amp;Reconhecimento!$A$5:$A$310," "&amp;$C152))),Reconhecimento!$B$5:$B$310),"Confira: escolha na importação"))</f>
        <v/>
      </c>
      <c r="H152" s="15">
        <f>IF($C152="","",IFERROR(LOOKUP(2,1/((Reconhecimento!$A$5:$A$310&lt;&gt;"")*ISNUMBER(SEARCH(" "&amp;Reconhecimento!$A$5:$A$310," "&amp;$C152))),Reconhecimento!$C$5:$C$310),"—"))</f>
        <v/>
      </c>
      <c r="I152" s="15">
        <f>IF($C152="","",IFERROR(VLOOKUP($G152,Tipos!$A$5:$B$51,2,FALSE),"—"))</f>
        <v/>
      </c>
      <c r="J152" s="15">
        <f>IF(COUNTA($A152:$C152)=0,"",IF($A152="","Falta a Área",IF($B152="","Falta o Setor",IF($C152="","Falta o nome",IF(COUNTIF($C$6:$C$403,$C152)&gt;1,"Nome repetido: use 01, 02… ou a Qtd",IF(LEFT($G152,7)="Confira","Confira o tipo na importação","OK"))))))</f>
        <v/>
      </c>
    </row>
    <row r="153">
      <c r="A153" s="16" t="n"/>
      <c r="B153" s="16" t="n"/>
      <c r="C153" s="16" t="n"/>
      <c r="D153" s="16" t="n"/>
      <c r="E153" s="17" t="n"/>
      <c r="F153" s="16" t="n"/>
      <c r="G153" s="15">
        <f>IF($C153="","",IFERROR(LOOKUP(2,1/((Reconhecimento!$A$5:$A$310&lt;&gt;"")*ISNUMBER(SEARCH(" "&amp;Reconhecimento!$A$5:$A$310," "&amp;$C153))),Reconhecimento!$B$5:$B$310),"Confira: escolha na importação"))</f>
        <v/>
      </c>
      <c r="H153" s="15">
        <f>IF($C153="","",IFERROR(LOOKUP(2,1/((Reconhecimento!$A$5:$A$310&lt;&gt;"")*ISNUMBER(SEARCH(" "&amp;Reconhecimento!$A$5:$A$310," "&amp;$C153))),Reconhecimento!$C$5:$C$310),"—"))</f>
        <v/>
      </c>
      <c r="I153" s="15">
        <f>IF($C153="","",IFERROR(VLOOKUP($G153,Tipos!$A$5:$B$51,2,FALSE),"—"))</f>
        <v/>
      </c>
      <c r="J153" s="15">
        <f>IF(COUNTA($A153:$C153)=0,"",IF($A153="","Falta a Área",IF($B153="","Falta o Setor",IF($C153="","Falta o nome",IF(COUNTIF($C$6:$C$403,$C153)&gt;1,"Nome repetido: use 01, 02… ou a Qtd",IF(LEFT($G153,7)="Confira","Confira o tipo na importação","OK"))))))</f>
        <v/>
      </c>
    </row>
    <row r="154">
      <c r="A154" s="16" t="n"/>
      <c r="B154" s="16" t="n"/>
      <c r="C154" s="16" t="n"/>
      <c r="D154" s="16" t="n"/>
      <c r="E154" s="17" t="n"/>
      <c r="F154" s="16" t="n"/>
      <c r="G154" s="15">
        <f>IF($C154="","",IFERROR(LOOKUP(2,1/((Reconhecimento!$A$5:$A$310&lt;&gt;"")*ISNUMBER(SEARCH(" "&amp;Reconhecimento!$A$5:$A$310," "&amp;$C154))),Reconhecimento!$B$5:$B$310),"Confira: escolha na importação"))</f>
        <v/>
      </c>
      <c r="H154" s="15">
        <f>IF($C154="","",IFERROR(LOOKUP(2,1/((Reconhecimento!$A$5:$A$310&lt;&gt;"")*ISNUMBER(SEARCH(" "&amp;Reconhecimento!$A$5:$A$310," "&amp;$C154))),Reconhecimento!$C$5:$C$310),"—"))</f>
        <v/>
      </c>
      <c r="I154" s="15">
        <f>IF($C154="","",IFERROR(VLOOKUP($G154,Tipos!$A$5:$B$51,2,FALSE),"—"))</f>
        <v/>
      </c>
      <c r="J154" s="15">
        <f>IF(COUNTA($A154:$C154)=0,"",IF($A154="","Falta a Área",IF($B154="","Falta o Setor",IF($C154="","Falta o nome",IF(COUNTIF($C$6:$C$403,$C154)&gt;1,"Nome repetido: use 01, 02… ou a Qtd",IF(LEFT($G154,7)="Confira","Confira o tipo na importação","OK"))))))</f>
        <v/>
      </c>
    </row>
    <row r="155">
      <c r="A155" s="16" t="n"/>
      <c r="B155" s="16" t="n"/>
      <c r="C155" s="16" t="n"/>
      <c r="D155" s="16" t="n"/>
      <c r="E155" s="17" t="n"/>
      <c r="F155" s="16" t="n"/>
      <c r="G155" s="15">
        <f>IF($C155="","",IFERROR(LOOKUP(2,1/((Reconhecimento!$A$5:$A$310&lt;&gt;"")*ISNUMBER(SEARCH(" "&amp;Reconhecimento!$A$5:$A$310," "&amp;$C155))),Reconhecimento!$B$5:$B$310),"Confira: escolha na importação"))</f>
        <v/>
      </c>
      <c r="H155" s="15">
        <f>IF($C155="","",IFERROR(LOOKUP(2,1/((Reconhecimento!$A$5:$A$310&lt;&gt;"")*ISNUMBER(SEARCH(" "&amp;Reconhecimento!$A$5:$A$310," "&amp;$C155))),Reconhecimento!$C$5:$C$310),"—"))</f>
        <v/>
      </c>
      <c r="I155" s="15">
        <f>IF($C155="","",IFERROR(VLOOKUP($G155,Tipos!$A$5:$B$51,2,FALSE),"—"))</f>
        <v/>
      </c>
      <c r="J155" s="15">
        <f>IF(COUNTA($A155:$C155)=0,"",IF($A155="","Falta a Área",IF($B155="","Falta o Setor",IF($C155="","Falta o nome",IF(COUNTIF($C$6:$C$403,$C155)&gt;1,"Nome repetido: use 01, 02… ou a Qtd",IF(LEFT($G155,7)="Confira","Confira o tipo na importação","OK"))))))</f>
        <v/>
      </c>
    </row>
    <row r="156">
      <c r="A156" s="16" t="n"/>
      <c r="B156" s="16" t="n"/>
      <c r="C156" s="16" t="n"/>
      <c r="D156" s="16" t="n"/>
      <c r="E156" s="17" t="n"/>
      <c r="F156" s="16" t="n"/>
      <c r="G156" s="15">
        <f>IF($C156="","",IFERROR(LOOKUP(2,1/((Reconhecimento!$A$5:$A$310&lt;&gt;"")*ISNUMBER(SEARCH(" "&amp;Reconhecimento!$A$5:$A$310," "&amp;$C156))),Reconhecimento!$B$5:$B$310),"Confira: escolha na importação"))</f>
        <v/>
      </c>
      <c r="H156" s="15">
        <f>IF($C156="","",IFERROR(LOOKUP(2,1/((Reconhecimento!$A$5:$A$310&lt;&gt;"")*ISNUMBER(SEARCH(" "&amp;Reconhecimento!$A$5:$A$310," "&amp;$C156))),Reconhecimento!$C$5:$C$310),"—"))</f>
        <v/>
      </c>
      <c r="I156" s="15">
        <f>IF($C156="","",IFERROR(VLOOKUP($G156,Tipos!$A$5:$B$51,2,FALSE),"—"))</f>
        <v/>
      </c>
      <c r="J156" s="15">
        <f>IF(COUNTA($A156:$C156)=0,"",IF($A156="","Falta a Área",IF($B156="","Falta o Setor",IF($C156="","Falta o nome",IF(COUNTIF($C$6:$C$403,$C156)&gt;1,"Nome repetido: use 01, 02… ou a Qtd",IF(LEFT($G156,7)="Confira","Confira o tipo na importação","OK"))))))</f>
        <v/>
      </c>
    </row>
    <row r="157">
      <c r="A157" s="16" t="n"/>
      <c r="B157" s="16" t="n"/>
      <c r="C157" s="16" t="n"/>
      <c r="D157" s="16" t="n"/>
      <c r="E157" s="17" t="n"/>
      <c r="F157" s="16" t="n"/>
      <c r="G157" s="15">
        <f>IF($C157="","",IFERROR(LOOKUP(2,1/((Reconhecimento!$A$5:$A$310&lt;&gt;"")*ISNUMBER(SEARCH(" "&amp;Reconhecimento!$A$5:$A$310," "&amp;$C157))),Reconhecimento!$B$5:$B$310),"Confira: escolha na importação"))</f>
        <v/>
      </c>
      <c r="H157" s="15">
        <f>IF($C157="","",IFERROR(LOOKUP(2,1/((Reconhecimento!$A$5:$A$310&lt;&gt;"")*ISNUMBER(SEARCH(" "&amp;Reconhecimento!$A$5:$A$310," "&amp;$C157))),Reconhecimento!$C$5:$C$310),"—"))</f>
        <v/>
      </c>
      <c r="I157" s="15">
        <f>IF($C157="","",IFERROR(VLOOKUP($G157,Tipos!$A$5:$B$51,2,FALSE),"—"))</f>
        <v/>
      </c>
      <c r="J157" s="15">
        <f>IF(COUNTA($A157:$C157)=0,"",IF($A157="","Falta a Área",IF($B157="","Falta o Setor",IF($C157="","Falta o nome",IF(COUNTIF($C$6:$C$403,$C157)&gt;1,"Nome repetido: use 01, 02… ou a Qtd",IF(LEFT($G157,7)="Confira","Confira o tipo na importação","OK"))))))</f>
        <v/>
      </c>
    </row>
    <row r="158">
      <c r="A158" s="16" t="n"/>
      <c r="B158" s="16" t="n"/>
      <c r="C158" s="16" t="n"/>
      <c r="D158" s="16" t="n"/>
      <c r="E158" s="17" t="n"/>
      <c r="F158" s="16" t="n"/>
      <c r="G158" s="15">
        <f>IF($C158="","",IFERROR(LOOKUP(2,1/((Reconhecimento!$A$5:$A$310&lt;&gt;"")*ISNUMBER(SEARCH(" "&amp;Reconhecimento!$A$5:$A$310," "&amp;$C158))),Reconhecimento!$B$5:$B$310),"Confira: escolha na importação"))</f>
        <v/>
      </c>
      <c r="H158" s="15">
        <f>IF($C158="","",IFERROR(LOOKUP(2,1/((Reconhecimento!$A$5:$A$310&lt;&gt;"")*ISNUMBER(SEARCH(" "&amp;Reconhecimento!$A$5:$A$310," "&amp;$C158))),Reconhecimento!$C$5:$C$310),"—"))</f>
        <v/>
      </c>
      <c r="I158" s="15">
        <f>IF($C158="","",IFERROR(VLOOKUP($G158,Tipos!$A$5:$B$51,2,FALSE),"—"))</f>
        <v/>
      </c>
      <c r="J158" s="15">
        <f>IF(COUNTA($A158:$C158)=0,"",IF($A158="","Falta a Área",IF($B158="","Falta o Setor",IF($C158="","Falta o nome",IF(COUNTIF($C$6:$C$403,$C158)&gt;1,"Nome repetido: use 01, 02… ou a Qtd",IF(LEFT($G158,7)="Confira","Confira o tipo na importação","OK"))))))</f>
        <v/>
      </c>
    </row>
    <row r="159">
      <c r="A159" s="16" t="n"/>
      <c r="B159" s="16" t="n"/>
      <c r="C159" s="16" t="n"/>
      <c r="D159" s="16" t="n"/>
      <c r="E159" s="17" t="n"/>
      <c r="F159" s="16" t="n"/>
      <c r="G159" s="15">
        <f>IF($C159="","",IFERROR(LOOKUP(2,1/((Reconhecimento!$A$5:$A$310&lt;&gt;"")*ISNUMBER(SEARCH(" "&amp;Reconhecimento!$A$5:$A$310," "&amp;$C159))),Reconhecimento!$B$5:$B$310),"Confira: escolha na importação"))</f>
        <v/>
      </c>
      <c r="H159" s="15">
        <f>IF($C159="","",IFERROR(LOOKUP(2,1/((Reconhecimento!$A$5:$A$310&lt;&gt;"")*ISNUMBER(SEARCH(" "&amp;Reconhecimento!$A$5:$A$310," "&amp;$C159))),Reconhecimento!$C$5:$C$310),"—"))</f>
        <v/>
      </c>
      <c r="I159" s="15">
        <f>IF($C159="","",IFERROR(VLOOKUP($G159,Tipos!$A$5:$B$51,2,FALSE),"—"))</f>
        <v/>
      </c>
      <c r="J159" s="15">
        <f>IF(COUNTA($A159:$C159)=0,"",IF($A159="","Falta a Área",IF($B159="","Falta o Setor",IF($C159="","Falta o nome",IF(COUNTIF($C$6:$C$403,$C159)&gt;1,"Nome repetido: use 01, 02… ou a Qtd",IF(LEFT($G159,7)="Confira","Confira o tipo na importação","OK"))))))</f>
        <v/>
      </c>
    </row>
    <row r="160">
      <c r="A160" s="16" t="n"/>
      <c r="B160" s="16" t="n"/>
      <c r="C160" s="16" t="n"/>
      <c r="D160" s="16" t="n"/>
      <c r="E160" s="17" t="n"/>
      <c r="F160" s="16" t="n"/>
      <c r="G160" s="15">
        <f>IF($C160="","",IFERROR(LOOKUP(2,1/((Reconhecimento!$A$5:$A$310&lt;&gt;"")*ISNUMBER(SEARCH(" "&amp;Reconhecimento!$A$5:$A$310," "&amp;$C160))),Reconhecimento!$B$5:$B$310),"Confira: escolha na importação"))</f>
        <v/>
      </c>
      <c r="H160" s="15">
        <f>IF($C160="","",IFERROR(LOOKUP(2,1/((Reconhecimento!$A$5:$A$310&lt;&gt;"")*ISNUMBER(SEARCH(" "&amp;Reconhecimento!$A$5:$A$310," "&amp;$C160))),Reconhecimento!$C$5:$C$310),"—"))</f>
        <v/>
      </c>
      <c r="I160" s="15">
        <f>IF($C160="","",IFERROR(VLOOKUP($G160,Tipos!$A$5:$B$51,2,FALSE),"—"))</f>
        <v/>
      </c>
      <c r="J160" s="15">
        <f>IF(COUNTA($A160:$C160)=0,"",IF($A160="","Falta a Área",IF($B160="","Falta o Setor",IF($C160="","Falta o nome",IF(COUNTIF($C$6:$C$403,$C160)&gt;1,"Nome repetido: use 01, 02… ou a Qtd",IF(LEFT($G160,7)="Confira","Confira o tipo na importação","OK"))))))</f>
        <v/>
      </c>
    </row>
    <row r="161">
      <c r="A161" s="16" t="n"/>
      <c r="B161" s="16" t="n"/>
      <c r="C161" s="16" t="n"/>
      <c r="D161" s="16" t="n"/>
      <c r="E161" s="17" t="n"/>
      <c r="F161" s="16" t="n"/>
      <c r="G161" s="15">
        <f>IF($C161="","",IFERROR(LOOKUP(2,1/((Reconhecimento!$A$5:$A$310&lt;&gt;"")*ISNUMBER(SEARCH(" "&amp;Reconhecimento!$A$5:$A$310," "&amp;$C161))),Reconhecimento!$B$5:$B$310),"Confira: escolha na importação"))</f>
        <v/>
      </c>
      <c r="H161" s="15">
        <f>IF($C161="","",IFERROR(LOOKUP(2,1/((Reconhecimento!$A$5:$A$310&lt;&gt;"")*ISNUMBER(SEARCH(" "&amp;Reconhecimento!$A$5:$A$310," "&amp;$C161))),Reconhecimento!$C$5:$C$310),"—"))</f>
        <v/>
      </c>
      <c r="I161" s="15">
        <f>IF($C161="","",IFERROR(VLOOKUP($G161,Tipos!$A$5:$B$51,2,FALSE),"—"))</f>
        <v/>
      </c>
      <c r="J161" s="15">
        <f>IF(COUNTA($A161:$C161)=0,"",IF($A161="","Falta a Área",IF($B161="","Falta o Setor",IF($C161="","Falta o nome",IF(COUNTIF($C$6:$C$403,$C161)&gt;1,"Nome repetido: use 01, 02… ou a Qtd",IF(LEFT($G161,7)="Confira","Confira o tipo na importação","OK"))))))</f>
        <v/>
      </c>
    </row>
    <row r="162">
      <c r="A162" s="16" t="n"/>
      <c r="B162" s="16" t="n"/>
      <c r="C162" s="16" t="n"/>
      <c r="D162" s="16" t="n"/>
      <c r="E162" s="17" t="n"/>
      <c r="F162" s="16" t="n"/>
      <c r="G162" s="15">
        <f>IF($C162="","",IFERROR(LOOKUP(2,1/((Reconhecimento!$A$5:$A$310&lt;&gt;"")*ISNUMBER(SEARCH(" "&amp;Reconhecimento!$A$5:$A$310," "&amp;$C162))),Reconhecimento!$B$5:$B$310),"Confira: escolha na importação"))</f>
        <v/>
      </c>
      <c r="H162" s="15">
        <f>IF($C162="","",IFERROR(LOOKUP(2,1/((Reconhecimento!$A$5:$A$310&lt;&gt;"")*ISNUMBER(SEARCH(" "&amp;Reconhecimento!$A$5:$A$310," "&amp;$C162))),Reconhecimento!$C$5:$C$310),"—"))</f>
        <v/>
      </c>
      <c r="I162" s="15">
        <f>IF($C162="","",IFERROR(VLOOKUP($G162,Tipos!$A$5:$B$51,2,FALSE),"—"))</f>
        <v/>
      </c>
      <c r="J162" s="15">
        <f>IF(COUNTA($A162:$C162)=0,"",IF($A162="","Falta a Área",IF($B162="","Falta o Setor",IF($C162="","Falta o nome",IF(COUNTIF($C$6:$C$403,$C162)&gt;1,"Nome repetido: use 01, 02… ou a Qtd",IF(LEFT($G162,7)="Confira","Confira o tipo na importação","OK"))))))</f>
        <v/>
      </c>
    </row>
    <row r="163">
      <c r="A163" s="16" t="n"/>
      <c r="B163" s="16" t="n"/>
      <c r="C163" s="16" t="n"/>
      <c r="D163" s="16" t="n"/>
      <c r="E163" s="17" t="n"/>
      <c r="F163" s="16" t="n"/>
      <c r="G163" s="15">
        <f>IF($C163="","",IFERROR(LOOKUP(2,1/((Reconhecimento!$A$5:$A$310&lt;&gt;"")*ISNUMBER(SEARCH(" "&amp;Reconhecimento!$A$5:$A$310," "&amp;$C163))),Reconhecimento!$B$5:$B$310),"Confira: escolha na importação"))</f>
        <v/>
      </c>
      <c r="H163" s="15">
        <f>IF($C163="","",IFERROR(LOOKUP(2,1/((Reconhecimento!$A$5:$A$310&lt;&gt;"")*ISNUMBER(SEARCH(" "&amp;Reconhecimento!$A$5:$A$310," "&amp;$C163))),Reconhecimento!$C$5:$C$310),"—"))</f>
        <v/>
      </c>
      <c r="I163" s="15">
        <f>IF($C163="","",IFERROR(VLOOKUP($G163,Tipos!$A$5:$B$51,2,FALSE),"—"))</f>
        <v/>
      </c>
      <c r="J163" s="15">
        <f>IF(COUNTA($A163:$C163)=0,"",IF($A163="","Falta a Área",IF($B163="","Falta o Setor",IF($C163="","Falta o nome",IF(COUNTIF($C$6:$C$403,$C163)&gt;1,"Nome repetido: use 01, 02… ou a Qtd",IF(LEFT($G163,7)="Confira","Confira o tipo na importação","OK"))))))</f>
        <v/>
      </c>
    </row>
    <row r="164">
      <c r="A164" s="16" t="n"/>
      <c r="B164" s="16" t="n"/>
      <c r="C164" s="16" t="n"/>
      <c r="D164" s="16" t="n"/>
      <c r="E164" s="17" t="n"/>
      <c r="F164" s="16" t="n"/>
      <c r="G164" s="15">
        <f>IF($C164="","",IFERROR(LOOKUP(2,1/((Reconhecimento!$A$5:$A$310&lt;&gt;"")*ISNUMBER(SEARCH(" "&amp;Reconhecimento!$A$5:$A$310," "&amp;$C164))),Reconhecimento!$B$5:$B$310),"Confira: escolha na importação"))</f>
        <v/>
      </c>
      <c r="H164" s="15">
        <f>IF($C164="","",IFERROR(LOOKUP(2,1/((Reconhecimento!$A$5:$A$310&lt;&gt;"")*ISNUMBER(SEARCH(" "&amp;Reconhecimento!$A$5:$A$310," "&amp;$C164))),Reconhecimento!$C$5:$C$310),"—"))</f>
        <v/>
      </c>
      <c r="I164" s="15">
        <f>IF($C164="","",IFERROR(VLOOKUP($G164,Tipos!$A$5:$B$51,2,FALSE),"—"))</f>
        <v/>
      </c>
      <c r="J164" s="15">
        <f>IF(COUNTA($A164:$C164)=0,"",IF($A164="","Falta a Área",IF($B164="","Falta o Setor",IF($C164="","Falta o nome",IF(COUNTIF($C$6:$C$403,$C164)&gt;1,"Nome repetido: use 01, 02… ou a Qtd",IF(LEFT($G164,7)="Confira","Confira o tipo na importação","OK"))))))</f>
        <v/>
      </c>
    </row>
    <row r="165">
      <c r="A165" s="16" t="n"/>
      <c r="B165" s="16" t="n"/>
      <c r="C165" s="16" t="n"/>
      <c r="D165" s="16" t="n"/>
      <c r="E165" s="17" t="n"/>
      <c r="F165" s="16" t="n"/>
      <c r="G165" s="15">
        <f>IF($C165="","",IFERROR(LOOKUP(2,1/((Reconhecimento!$A$5:$A$310&lt;&gt;"")*ISNUMBER(SEARCH(" "&amp;Reconhecimento!$A$5:$A$310," "&amp;$C165))),Reconhecimento!$B$5:$B$310),"Confira: escolha na importação"))</f>
        <v/>
      </c>
      <c r="H165" s="15">
        <f>IF($C165="","",IFERROR(LOOKUP(2,1/((Reconhecimento!$A$5:$A$310&lt;&gt;"")*ISNUMBER(SEARCH(" "&amp;Reconhecimento!$A$5:$A$310," "&amp;$C165))),Reconhecimento!$C$5:$C$310),"—"))</f>
        <v/>
      </c>
      <c r="I165" s="15">
        <f>IF($C165="","",IFERROR(VLOOKUP($G165,Tipos!$A$5:$B$51,2,FALSE),"—"))</f>
        <v/>
      </c>
      <c r="J165" s="15">
        <f>IF(COUNTA($A165:$C165)=0,"",IF($A165="","Falta a Área",IF($B165="","Falta o Setor",IF($C165="","Falta o nome",IF(COUNTIF($C$6:$C$403,$C165)&gt;1,"Nome repetido: use 01, 02… ou a Qtd",IF(LEFT($G165,7)="Confira","Confira o tipo na importação","OK"))))))</f>
        <v/>
      </c>
    </row>
    <row r="166">
      <c r="A166" s="16" t="n"/>
      <c r="B166" s="16" t="n"/>
      <c r="C166" s="16" t="n"/>
      <c r="D166" s="16" t="n"/>
      <c r="E166" s="17" t="n"/>
      <c r="F166" s="16" t="n"/>
      <c r="G166" s="15">
        <f>IF($C166="","",IFERROR(LOOKUP(2,1/((Reconhecimento!$A$5:$A$310&lt;&gt;"")*ISNUMBER(SEARCH(" "&amp;Reconhecimento!$A$5:$A$310," "&amp;$C166))),Reconhecimento!$B$5:$B$310),"Confira: escolha na importação"))</f>
        <v/>
      </c>
      <c r="H166" s="15">
        <f>IF($C166="","",IFERROR(LOOKUP(2,1/((Reconhecimento!$A$5:$A$310&lt;&gt;"")*ISNUMBER(SEARCH(" "&amp;Reconhecimento!$A$5:$A$310," "&amp;$C166))),Reconhecimento!$C$5:$C$310),"—"))</f>
        <v/>
      </c>
      <c r="I166" s="15">
        <f>IF($C166="","",IFERROR(VLOOKUP($G166,Tipos!$A$5:$B$51,2,FALSE),"—"))</f>
        <v/>
      </c>
      <c r="J166" s="15">
        <f>IF(COUNTA($A166:$C166)=0,"",IF($A166="","Falta a Área",IF($B166="","Falta o Setor",IF($C166="","Falta o nome",IF(COUNTIF($C$6:$C$403,$C166)&gt;1,"Nome repetido: use 01, 02… ou a Qtd",IF(LEFT($G166,7)="Confira","Confira o tipo na importação","OK"))))))</f>
        <v/>
      </c>
    </row>
    <row r="167">
      <c r="A167" s="16" t="n"/>
      <c r="B167" s="16" t="n"/>
      <c r="C167" s="16" t="n"/>
      <c r="D167" s="16" t="n"/>
      <c r="E167" s="17" t="n"/>
      <c r="F167" s="16" t="n"/>
      <c r="G167" s="15">
        <f>IF($C167="","",IFERROR(LOOKUP(2,1/((Reconhecimento!$A$5:$A$310&lt;&gt;"")*ISNUMBER(SEARCH(" "&amp;Reconhecimento!$A$5:$A$310," "&amp;$C167))),Reconhecimento!$B$5:$B$310),"Confira: escolha na importação"))</f>
        <v/>
      </c>
      <c r="H167" s="15">
        <f>IF($C167="","",IFERROR(LOOKUP(2,1/((Reconhecimento!$A$5:$A$310&lt;&gt;"")*ISNUMBER(SEARCH(" "&amp;Reconhecimento!$A$5:$A$310," "&amp;$C167))),Reconhecimento!$C$5:$C$310),"—"))</f>
        <v/>
      </c>
      <c r="I167" s="15">
        <f>IF($C167="","",IFERROR(VLOOKUP($G167,Tipos!$A$5:$B$51,2,FALSE),"—"))</f>
        <v/>
      </c>
      <c r="J167" s="15">
        <f>IF(COUNTA($A167:$C167)=0,"",IF($A167="","Falta a Área",IF($B167="","Falta o Setor",IF($C167="","Falta o nome",IF(COUNTIF($C$6:$C$403,$C167)&gt;1,"Nome repetido: use 01, 02… ou a Qtd",IF(LEFT($G167,7)="Confira","Confira o tipo na importação","OK"))))))</f>
        <v/>
      </c>
    </row>
    <row r="168">
      <c r="A168" s="16" t="n"/>
      <c r="B168" s="16" t="n"/>
      <c r="C168" s="16" t="n"/>
      <c r="D168" s="16" t="n"/>
      <c r="E168" s="17" t="n"/>
      <c r="F168" s="16" t="n"/>
      <c r="G168" s="15">
        <f>IF($C168="","",IFERROR(LOOKUP(2,1/((Reconhecimento!$A$5:$A$310&lt;&gt;"")*ISNUMBER(SEARCH(" "&amp;Reconhecimento!$A$5:$A$310," "&amp;$C168))),Reconhecimento!$B$5:$B$310),"Confira: escolha na importação"))</f>
        <v/>
      </c>
      <c r="H168" s="15">
        <f>IF($C168="","",IFERROR(LOOKUP(2,1/((Reconhecimento!$A$5:$A$310&lt;&gt;"")*ISNUMBER(SEARCH(" "&amp;Reconhecimento!$A$5:$A$310," "&amp;$C168))),Reconhecimento!$C$5:$C$310),"—"))</f>
        <v/>
      </c>
      <c r="I168" s="15">
        <f>IF($C168="","",IFERROR(VLOOKUP($G168,Tipos!$A$5:$B$51,2,FALSE),"—"))</f>
        <v/>
      </c>
      <c r="J168" s="15">
        <f>IF(COUNTA($A168:$C168)=0,"",IF($A168="","Falta a Área",IF($B168="","Falta o Setor",IF($C168="","Falta o nome",IF(COUNTIF($C$6:$C$403,$C168)&gt;1,"Nome repetido: use 01, 02… ou a Qtd",IF(LEFT($G168,7)="Confira","Confira o tipo na importação","OK"))))))</f>
        <v/>
      </c>
    </row>
    <row r="169">
      <c r="A169" s="16" t="n"/>
      <c r="B169" s="16" t="n"/>
      <c r="C169" s="16" t="n"/>
      <c r="D169" s="16" t="n"/>
      <c r="E169" s="17" t="n"/>
      <c r="F169" s="16" t="n"/>
      <c r="G169" s="15">
        <f>IF($C169="","",IFERROR(LOOKUP(2,1/((Reconhecimento!$A$5:$A$310&lt;&gt;"")*ISNUMBER(SEARCH(" "&amp;Reconhecimento!$A$5:$A$310," "&amp;$C169))),Reconhecimento!$B$5:$B$310),"Confira: escolha na importação"))</f>
        <v/>
      </c>
      <c r="H169" s="15">
        <f>IF($C169="","",IFERROR(LOOKUP(2,1/((Reconhecimento!$A$5:$A$310&lt;&gt;"")*ISNUMBER(SEARCH(" "&amp;Reconhecimento!$A$5:$A$310," "&amp;$C169))),Reconhecimento!$C$5:$C$310),"—"))</f>
        <v/>
      </c>
      <c r="I169" s="15">
        <f>IF($C169="","",IFERROR(VLOOKUP($G169,Tipos!$A$5:$B$51,2,FALSE),"—"))</f>
        <v/>
      </c>
      <c r="J169" s="15">
        <f>IF(COUNTA($A169:$C169)=0,"",IF($A169="","Falta a Área",IF($B169="","Falta o Setor",IF($C169="","Falta o nome",IF(COUNTIF($C$6:$C$403,$C169)&gt;1,"Nome repetido: use 01, 02… ou a Qtd",IF(LEFT($G169,7)="Confira","Confira o tipo na importação","OK"))))))</f>
        <v/>
      </c>
    </row>
    <row r="170">
      <c r="A170" s="16" t="n"/>
      <c r="B170" s="16" t="n"/>
      <c r="C170" s="16" t="n"/>
      <c r="D170" s="16" t="n"/>
      <c r="E170" s="17" t="n"/>
      <c r="F170" s="16" t="n"/>
      <c r="G170" s="15">
        <f>IF($C170="","",IFERROR(LOOKUP(2,1/((Reconhecimento!$A$5:$A$310&lt;&gt;"")*ISNUMBER(SEARCH(" "&amp;Reconhecimento!$A$5:$A$310," "&amp;$C170))),Reconhecimento!$B$5:$B$310),"Confira: escolha na importação"))</f>
        <v/>
      </c>
      <c r="H170" s="15">
        <f>IF($C170="","",IFERROR(LOOKUP(2,1/((Reconhecimento!$A$5:$A$310&lt;&gt;"")*ISNUMBER(SEARCH(" "&amp;Reconhecimento!$A$5:$A$310," "&amp;$C170))),Reconhecimento!$C$5:$C$310),"—"))</f>
        <v/>
      </c>
      <c r="I170" s="15">
        <f>IF($C170="","",IFERROR(VLOOKUP($G170,Tipos!$A$5:$B$51,2,FALSE),"—"))</f>
        <v/>
      </c>
      <c r="J170" s="15">
        <f>IF(COUNTA($A170:$C170)=0,"",IF($A170="","Falta a Área",IF($B170="","Falta o Setor",IF($C170="","Falta o nome",IF(COUNTIF($C$6:$C$403,$C170)&gt;1,"Nome repetido: use 01, 02… ou a Qtd",IF(LEFT($G170,7)="Confira","Confira o tipo na importação","OK"))))))</f>
        <v/>
      </c>
    </row>
    <row r="171">
      <c r="A171" s="16" t="n"/>
      <c r="B171" s="16" t="n"/>
      <c r="C171" s="16" t="n"/>
      <c r="D171" s="16" t="n"/>
      <c r="E171" s="17" t="n"/>
      <c r="F171" s="16" t="n"/>
      <c r="G171" s="15">
        <f>IF($C171="","",IFERROR(LOOKUP(2,1/((Reconhecimento!$A$5:$A$310&lt;&gt;"")*ISNUMBER(SEARCH(" "&amp;Reconhecimento!$A$5:$A$310," "&amp;$C171))),Reconhecimento!$B$5:$B$310),"Confira: escolha na importação"))</f>
        <v/>
      </c>
      <c r="H171" s="15">
        <f>IF($C171="","",IFERROR(LOOKUP(2,1/((Reconhecimento!$A$5:$A$310&lt;&gt;"")*ISNUMBER(SEARCH(" "&amp;Reconhecimento!$A$5:$A$310," "&amp;$C171))),Reconhecimento!$C$5:$C$310),"—"))</f>
        <v/>
      </c>
      <c r="I171" s="15">
        <f>IF($C171="","",IFERROR(VLOOKUP($G171,Tipos!$A$5:$B$51,2,FALSE),"—"))</f>
        <v/>
      </c>
      <c r="J171" s="15">
        <f>IF(COUNTA($A171:$C171)=0,"",IF($A171="","Falta a Área",IF($B171="","Falta o Setor",IF($C171="","Falta o nome",IF(COUNTIF($C$6:$C$403,$C171)&gt;1,"Nome repetido: use 01, 02… ou a Qtd",IF(LEFT($G171,7)="Confira","Confira o tipo na importação","OK"))))))</f>
        <v/>
      </c>
    </row>
    <row r="172">
      <c r="A172" s="16" t="n"/>
      <c r="B172" s="16" t="n"/>
      <c r="C172" s="16" t="n"/>
      <c r="D172" s="16" t="n"/>
      <c r="E172" s="17" t="n"/>
      <c r="F172" s="16" t="n"/>
      <c r="G172" s="15">
        <f>IF($C172="","",IFERROR(LOOKUP(2,1/((Reconhecimento!$A$5:$A$310&lt;&gt;"")*ISNUMBER(SEARCH(" "&amp;Reconhecimento!$A$5:$A$310," "&amp;$C172))),Reconhecimento!$B$5:$B$310),"Confira: escolha na importação"))</f>
        <v/>
      </c>
      <c r="H172" s="15">
        <f>IF($C172="","",IFERROR(LOOKUP(2,1/((Reconhecimento!$A$5:$A$310&lt;&gt;"")*ISNUMBER(SEARCH(" "&amp;Reconhecimento!$A$5:$A$310," "&amp;$C172))),Reconhecimento!$C$5:$C$310),"—"))</f>
        <v/>
      </c>
      <c r="I172" s="15">
        <f>IF($C172="","",IFERROR(VLOOKUP($G172,Tipos!$A$5:$B$51,2,FALSE),"—"))</f>
        <v/>
      </c>
      <c r="J172" s="15">
        <f>IF(COUNTA($A172:$C172)=0,"",IF($A172="","Falta a Área",IF($B172="","Falta o Setor",IF($C172="","Falta o nome",IF(COUNTIF($C$6:$C$403,$C172)&gt;1,"Nome repetido: use 01, 02… ou a Qtd",IF(LEFT($G172,7)="Confira","Confira o tipo na importação","OK"))))))</f>
        <v/>
      </c>
    </row>
    <row r="173">
      <c r="A173" s="16" t="n"/>
      <c r="B173" s="16" t="n"/>
      <c r="C173" s="16" t="n"/>
      <c r="D173" s="16" t="n"/>
      <c r="E173" s="17" t="n"/>
      <c r="F173" s="16" t="n"/>
      <c r="G173" s="15">
        <f>IF($C173="","",IFERROR(LOOKUP(2,1/((Reconhecimento!$A$5:$A$310&lt;&gt;"")*ISNUMBER(SEARCH(" "&amp;Reconhecimento!$A$5:$A$310," "&amp;$C173))),Reconhecimento!$B$5:$B$310),"Confira: escolha na importação"))</f>
        <v/>
      </c>
      <c r="H173" s="15">
        <f>IF($C173="","",IFERROR(LOOKUP(2,1/((Reconhecimento!$A$5:$A$310&lt;&gt;"")*ISNUMBER(SEARCH(" "&amp;Reconhecimento!$A$5:$A$310," "&amp;$C173))),Reconhecimento!$C$5:$C$310),"—"))</f>
        <v/>
      </c>
      <c r="I173" s="15">
        <f>IF($C173="","",IFERROR(VLOOKUP($G173,Tipos!$A$5:$B$51,2,FALSE),"—"))</f>
        <v/>
      </c>
      <c r="J173" s="15">
        <f>IF(COUNTA($A173:$C173)=0,"",IF($A173="","Falta a Área",IF($B173="","Falta o Setor",IF($C173="","Falta o nome",IF(COUNTIF($C$6:$C$403,$C173)&gt;1,"Nome repetido: use 01, 02… ou a Qtd",IF(LEFT($G173,7)="Confira","Confira o tipo na importação","OK"))))))</f>
        <v/>
      </c>
    </row>
    <row r="174">
      <c r="A174" s="16" t="n"/>
      <c r="B174" s="16" t="n"/>
      <c r="C174" s="16" t="n"/>
      <c r="D174" s="16" t="n"/>
      <c r="E174" s="17" t="n"/>
      <c r="F174" s="16" t="n"/>
      <c r="G174" s="15">
        <f>IF($C174="","",IFERROR(LOOKUP(2,1/((Reconhecimento!$A$5:$A$310&lt;&gt;"")*ISNUMBER(SEARCH(" "&amp;Reconhecimento!$A$5:$A$310," "&amp;$C174))),Reconhecimento!$B$5:$B$310),"Confira: escolha na importação"))</f>
        <v/>
      </c>
      <c r="H174" s="15">
        <f>IF($C174="","",IFERROR(LOOKUP(2,1/((Reconhecimento!$A$5:$A$310&lt;&gt;"")*ISNUMBER(SEARCH(" "&amp;Reconhecimento!$A$5:$A$310," "&amp;$C174))),Reconhecimento!$C$5:$C$310),"—"))</f>
        <v/>
      </c>
      <c r="I174" s="15">
        <f>IF($C174="","",IFERROR(VLOOKUP($G174,Tipos!$A$5:$B$51,2,FALSE),"—"))</f>
        <v/>
      </c>
      <c r="J174" s="15">
        <f>IF(COUNTA($A174:$C174)=0,"",IF($A174="","Falta a Área",IF($B174="","Falta o Setor",IF($C174="","Falta o nome",IF(COUNTIF($C$6:$C$403,$C174)&gt;1,"Nome repetido: use 01, 02… ou a Qtd",IF(LEFT($G174,7)="Confira","Confira o tipo na importação","OK"))))))</f>
        <v/>
      </c>
    </row>
    <row r="175">
      <c r="A175" s="16" t="n"/>
      <c r="B175" s="16" t="n"/>
      <c r="C175" s="16" t="n"/>
      <c r="D175" s="16" t="n"/>
      <c r="E175" s="17" t="n"/>
      <c r="F175" s="16" t="n"/>
      <c r="G175" s="15">
        <f>IF($C175="","",IFERROR(LOOKUP(2,1/((Reconhecimento!$A$5:$A$310&lt;&gt;"")*ISNUMBER(SEARCH(" "&amp;Reconhecimento!$A$5:$A$310," "&amp;$C175))),Reconhecimento!$B$5:$B$310),"Confira: escolha na importação"))</f>
        <v/>
      </c>
      <c r="H175" s="15">
        <f>IF($C175="","",IFERROR(LOOKUP(2,1/((Reconhecimento!$A$5:$A$310&lt;&gt;"")*ISNUMBER(SEARCH(" "&amp;Reconhecimento!$A$5:$A$310," "&amp;$C175))),Reconhecimento!$C$5:$C$310),"—"))</f>
        <v/>
      </c>
      <c r="I175" s="15">
        <f>IF($C175="","",IFERROR(VLOOKUP($G175,Tipos!$A$5:$B$51,2,FALSE),"—"))</f>
        <v/>
      </c>
      <c r="J175" s="15">
        <f>IF(COUNTA($A175:$C175)=0,"",IF($A175="","Falta a Área",IF($B175="","Falta o Setor",IF($C175="","Falta o nome",IF(COUNTIF($C$6:$C$403,$C175)&gt;1,"Nome repetido: use 01, 02… ou a Qtd",IF(LEFT($G175,7)="Confira","Confira o tipo na importação","OK"))))))</f>
        <v/>
      </c>
    </row>
    <row r="176">
      <c r="A176" s="16" t="n"/>
      <c r="B176" s="16" t="n"/>
      <c r="C176" s="16" t="n"/>
      <c r="D176" s="16" t="n"/>
      <c r="E176" s="17" t="n"/>
      <c r="F176" s="16" t="n"/>
      <c r="G176" s="15">
        <f>IF($C176="","",IFERROR(LOOKUP(2,1/((Reconhecimento!$A$5:$A$310&lt;&gt;"")*ISNUMBER(SEARCH(" "&amp;Reconhecimento!$A$5:$A$310," "&amp;$C176))),Reconhecimento!$B$5:$B$310),"Confira: escolha na importação"))</f>
        <v/>
      </c>
      <c r="H176" s="15">
        <f>IF($C176="","",IFERROR(LOOKUP(2,1/((Reconhecimento!$A$5:$A$310&lt;&gt;"")*ISNUMBER(SEARCH(" "&amp;Reconhecimento!$A$5:$A$310," "&amp;$C176))),Reconhecimento!$C$5:$C$310),"—"))</f>
        <v/>
      </c>
      <c r="I176" s="15">
        <f>IF($C176="","",IFERROR(VLOOKUP($G176,Tipos!$A$5:$B$51,2,FALSE),"—"))</f>
        <v/>
      </c>
      <c r="J176" s="15">
        <f>IF(COUNTA($A176:$C176)=0,"",IF($A176="","Falta a Área",IF($B176="","Falta o Setor",IF($C176="","Falta o nome",IF(COUNTIF($C$6:$C$403,$C176)&gt;1,"Nome repetido: use 01, 02… ou a Qtd",IF(LEFT($G176,7)="Confira","Confira o tipo na importação","OK"))))))</f>
        <v/>
      </c>
    </row>
    <row r="177">
      <c r="A177" s="16" t="n"/>
      <c r="B177" s="16" t="n"/>
      <c r="C177" s="16" t="n"/>
      <c r="D177" s="16" t="n"/>
      <c r="E177" s="17" t="n"/>
      <c r="F177" s="16" t="n"/>
      <c r="G177" s="15">
        <f>IF($C177="","",IFERROR(LOOKUP(2,1/((Reconhecimento!$A$5:$A$310&lt;&gt;"")*ISNUMBER(SEARCH(" "&amp;Reconhecimento!$A$5:$A$310," "&amp;$C177))),Reconhecimento!$B$5:$B$310),"Confira: escolha na importação"))</f>
        <v/>
      </c>
      <c r="H177" s="15">
        <f>IF($C177="","",IFERROR(LOOKUP(2,1/((Reconhecimento!$A$5:$A$310&lt;&gt;"")*ISNUMBER(SEARCH(" "&amp;Reconhecimento!$A$5:$A$310," "&amp;$C177))),Reconhecimento!$C$5:$C$310),"—"))</f>
        <v/>
      </c>
      <c r="I177" s="15">
        <f>IF($C177="","",IFERROR(VLOOKUP($G177,Tipos!$A$5:$B$51,2,FALSE),"—"))</f>
        <v/>
      </c>
      <c r="J177" s="15">
        <f>IF(COUNTA($A177:$C177)=0,"",IF($A177="","Falta a Área",IF($B177="","Falta o Setor",IF($C177="","Falta o nome",IF(COUNTIF($C$6:$C$403,$C177)&gt;1,"Nome repetido: use 01, 02… ou a Qtd",IF(LEFT($G177,7)="Confira","Confira o tipo na importação","OK"))))))</f>
        <v/>
      </c>
    </row>
    <row r="178">
      <c r="A178" s="16" t="n"/>
      <c r="B178" s="16" t="n"/>
      <c r="C178" s="16" t="n"/>
      <c r="D178" s="16" t="n"/>
      <c r="E178" s="17" t="n"/>
      <c r="F178" s="16" t="n"/>
      <c r="G178" s="15">
        <f>IF($C178="","",IFERROR(LOOKUP(2,1/((Reconhecimento!$A$5:$A$310&lt;&gt;"")*ISNUMBER(SEARCH(" "&amp;Reconhecimento!$A$5:$A$310," "&amp;$C178))),Reconhecimento!$B$5:$B$310),"Confira: escolha na importação"))</f>
        <v/>
      </c>
      <c r="H178" s="15">
        <f>IF($C178="","",IFERROR(LOOKUP(2,1/((Reconhecimento!$A$5:$A$310&lt;&gt;"")*ISNUMBER(SEARCH(" "&amp;Reconhecimento!$A$5:$A$310," "&amp;$C178))),Reconhecimento!$C$5:$C$310),"—"))</f>
        <v/>
      </c>
      <c r="I178" s="15">
        <f>IF($C178="","",IFERROR(VLOOKUP($G178,Tipos!$A$5:$B$51,2,FALSE),"—"))</f>
        <v/>
      </c>
      <c r="J178" s="15">
        <f>IF(COUNTA($A178:$C178)=0,"",IF($A178="","Falta a Área",IF($B178="","Falta o Setor",IF($C178="","Falta o nome",IF(COUNTIF($C$6:$C$403,$C178)&gt;1,"Nome repetido: use 01, 02… ou a Qtd",IF(LEFT($G178,7)="Confira","Confira o tipo na importação","OK"))))))</f>
        <v/>
      </c>
    </row>
    <row r="179">
      <c r="A179" s="16" t="n"/>
      <c r="B179" s="16" t="n"/>
      <c r="C179" s="16" t="n"/>
      <c r="D179" s="16" t="n"/>
      <c r="E179" s="17" t="n"/>
      <c r="F179" s="16" t="n"/>
      <c r="G179" s="15">
        <f>IF($C179="","",IFERROR(LOOKUP(2,1/((Reconhecimento!$A$5:$A$310&lt;&gt;"")*ISNUMBER(SEARCH(" "&amp;Reconhecimento!$A$5:$A$310," "&amp;$C179))),Reconhecimento!$B$5:$B$310),"Confira: escolha na importação"))</f>
        <v/>
      </c>
      <c r="H179" s="15">
        <f>IF($C179="","",IFERROR(LOOKUP(2,1/((Reconhecimento!$A$5:$A$310&lt;&gt;"")*ISNUMBER(SEARCH(" "&amp;Reconhecimento!$A$5:$A$310," "&amp;$C179))),Reconhecimento!$C$5:$C$310),"—"))</f>
        <v/>
      </c>
      <c r="I179" s="15">
        <f>IF($C179="","",IFERROR(VLOOKUP($G179,Tipos!$A$5:$B$51,2,FALSE),"—"))</f>
        <v/>
      </c>
      <c r="J179" s="15">
        <f>IF(COUNTA($A179:$C179)=0,"",IF($A179="","Falta a Área",IF($B179="","Falta o Setor",IF($C179="","Falta o nome",IF(COUNTIF($C$6:$C$403,$C179)&gt;1,"Nome repetido: use 01, 02… ou a Qtd",IF(LEFT($G179,7)="Confira","Confira o tipo na importação","OK"))))))</f>
        <v/>
      </c>
    </row>
    <row r="180">
      <c r="A180" s="16" t="n"/>
      <c r="B180" s="16" t="n"/>
      <c r="C180" s="16" t="n"/>
      <c r="D180" s="16" t="n"/>
      <c r="E180" s="17" t="n"/>
      <c r="F180" s="16" t="n"/>
      <c r="G180" s="15">
        <f>IF($C180="","",IFERROR(LOOKUP(2,1/((Reconhecimento!$A$5:$A$310&lt;&gt;"")*ISNUMBER(SEARCH(" "&amp;Reconhecimento!$A$5:$A$310," "&amp;$C180))),Reconhecimento!$B$5:$B$310),"Confira: escolha na importação"))</f>
        <v/>
      </c>
      <c r="H180" s="15">
        <f>IF($C180="","",IFERROR(LOOKUP(2,1/((Reconhecimento!$A$5:$A$310&lt;&gt;"")*ISNUMBER(SEARCH(" "&amp;Reconhecimento!$A$5:$A$310," "&amp;$C180))),Reconhecimento!$C$5:$C$310),"—"))</f>
        <v/>
      </c>
      <c r="I180" s="15">
        <f>IF($C180="","",IFERROR(VLOOKUP($G180,Tipos!$A$5:$B$51,2,FALSE),"—"))</f>
        <v/>
      </c>
      <c r="J180" s="15">
        <f>IF(COUNTA($A180:$C180)=0,"",IF($A180="","Falta a Área",IF($B180="","Falta o Setor",IF($C180="","Falta o nome",IF(COUNTIF($C$6:$C$403,$C180)&gt;1,"Nome repetido: use 01, 02… ou a Qtd",IF(LEFT($G180,7)="Confira","Confira o tipo na importação","OK"))))))</f>
        <v/>
      </c>
    </row>
    <row r="181">
      <c r="A181" s="16" t="n"/>
      <c r="B181" s="16" t="n"/>
      <c r="C181" s="16" t="n"/>
      <c r="D181" s="16" t="n"/>
      <c r="E181" s="17" t="n"/>
      <c r="F181" s="16" t="n"/>
      <c r="G181" s="15">
        <f>IF($C181="","",IFERROR(LOOKUP(2,1/((Reconhecimento!$A$5:$A$310&lt;&gt;"")*ISNUMBER(SEARCH(" "&amp;Reconhecimento!$A$5:$A$310," "&amp;$C181))),Reconhecimento!$B$5:$B$310),"Confira: escolha na importação"))</f>
        <v/>
      </c>
      <c r="H181" s="15">
        <f>IF($C181="","",IFERROR(LOOKUP(2,1/((Reconhecimento!$A$5:$A$310&lt;&gt;"")*ISNUMBER(SEARCH(" "&amp;Reconhecimento!$A$5:$A$310," "&amp;$C181))),Reconhecimento!$C$5:$C$310),"—"))</f>
        <v/>
      </c>
      <c r="I181" s="15">
        <f>IF($C181="","",IFERROR(VLOOKUP($G181,Tipos!$A$5:$B$51,2,FALSE),"—"))</f>
        <v/>
      </c>
      <c r="J181" s="15">
        <f>IF(COUNTA($A181:$C181)=0,"",IF($A181="","Falta a Área",IF($B181="","Falta o Setor",IF($C181="","Falta o nome",IF(COUNTIF($C$6:$C$403,$C181)&gt;1,"Nome repetido: use 01, 02… ou a Qtd",IF(LEFT($G181,7)="Confira","Confira o tipo na importação","OK"))))))</f>
        <v/>
      </c>
    </row>
    <row r="182">
      <c r="A182" s="16" t="n"/>
      <c r="B182" s="16" t="n"/>
      <c r="C182" s="16" t="n"/>
      <c r="D182" s="16" t="n"/>
      <c r="E182" s="17" t="n"/>
      <c r="F182" s="16" t="n"/>
      <c r="G182" s="15">
        <f>IF($C182="","",IFERROR(LOOKUP(2,1/((Reconhecimento!$A$5:$A$310&lt;&gt;"")*ISNUMBER(SEARCH(" "&amp;Reconhecimento!$A$5:$A$310," "&amp;$C182))),Reconhecimento!$B$5:$B$310),"Confira: escolha na importação"))</f>
        <v/>
      </c>
      <c r="H182" s="15">
        <f>IF($C182="","",IFERROR(LOOKUP(2,1/((Reconhecimento!$A$5:$A$310&lt;&gt;"")*ISNUMBER(SEARCH(" "&amp;Reconhecimento!$A$5:$A$310," "&amp;$C182))),Reconhecimento!$C$5:$C$310),"—"))</f>
        <v/>
      </c>
      <c r="I182" s="15">
        <f>IF($C182="","",IFERROR(VLOOKUP($G182,Tipos!$A$5:$B$51,2,FALSE),"—"))</f>
        <v/>
      </c>
      <c r="J182" s="15">
        <f>IF(COUNTA($A182:$C182)=0,"",IF($A182="","Falta a Área",IF($B182="","Falta o Setor",IF($C182="","Falta o nome",IF(COUNTIF($C$6:$C$403,$C182)&gt;1,"Nome repetido: use 01, 02… ou a Qtd",IF(LEFT($G182,7)="Confira","Confira o tipo na importação","OK"))))))</f>
        <v/>
      </c>
    </row>
    <row r="183">
      <c r="A183" s="16" t="n"/>
      <c r="B183" s="16" t="n"/>
      <c r="C183" s="16" t="n"/>
      <c r="D183" s="16" t="n"/>
      <c r="E183" s="17" t="n"/>
      <c r="F183" s="16" t="n"/>
      <c r="G183" s="15">
        <f>IF($C183="","",IFERROR(LOOKUP(2,1/((Reconhecimento!$A$5:$A$310&lt;&gt;"")*ISNUMBER(SEARCH(" "&amp;Reconhecimento!$A$5:$A$310," "&amp;$C183))),Reconhecimento!$B$5:$B$310),"Confira: escolha na importação"))</f>
        <v/>
      </c>
      <c r="H183" s="15">
        <f>IF($C183="","",IFERROR(LOOKUP(2,1/((Reconhecimento!$A$5:$A$310&lt;&gt;"")*ISNUMBER(SEARCH(" "&amp;Reconhecimento!$A$5:$A$310," "&amp;$C183))),Reconhecimento!$C$5:$C$310),"—"))</f>
        <v/>
      </c>
      <c r="I183" s="15">
        <f>IF($C183="","",IFERROR(VLOOKUP($G183,Tipos!$A$5:$B$51,2,FALSE),"—"))</f>
        <v/>
      </c>
      <c r="J183" s="15">
        <f>IF(COUNTA($A183:$C183)=0,"",IF($A183="","Falta a Área",IF($B183="","Falta o Setor",IF($C183="","Falta o nome",IF(COUNTIF($C$6:$C$403,$C183)&gt;1,"Nome repetido: use 01, 02… ou a Qtd",IF(LEFT($G183,7)="Confira","Confira o tipo na importação","OK"))))))</f>
        <v/>
      </c>
    </row>
    <row r="184">
      <c r="A184" s="16" t="n"/>
      <c r="B184" s="16" t="n"/>
      <c r="C184" s="16" t="n"/>
      <c r="D184" s="16" t="n"/>
      <c r="E184" s="17" t="n"/>
      <c r="F184" s="16" t="n"/>
      <c r="G184" s="15">
        <f>IF($C184="","",IFERROR(LOOKUP(2,1/((Reconhecimento!$A$5:$A$310&lt;&gt;"")*ISNUMBER(SEARCH(" "&amp;Reconhecimento!$A$5:$A$310," "&amp;$C184))),Reconhecimento!$B$5:$B$310),"Confira: escolha na importação"))</f>
        <v/>
      </c>
      <c r="H184" s="15">
        <f>IF($C184="","",IFERROR(LOOKUP(2,1/((Reconhecimento!$A$5:$A$310&lt;&gt;"")*ISNUMBER(SEARCH(" "&amp;Reconhecimento!$A$5:$A$310," "&amp;$C184))),Reconhecimento!$C$5:$C$310),"—"))</f>
        <v/>
      </c>
      <c r="I184" s="15">
        <f>IF($C184="","",IFERROR(VLOOKUP($G184,Tipos!$A$5:$B$51,2,FALSE),"—"))</f>
        <v/>
      </c>
      <c r="J184" s="15">
        <f>IF(COUNTA($A184:$C184)=0,"",IF($A184="","Falta a Área",IF($B184="","Falta o Setor",IF($C184="","Falta o nome",IF(COUNTIF($C$6:$C$403,$C184)&gt;1,"Nome repetido: use 01, 02… ou a Qtd",IF(LEFT($G184,7)="Confira","Confira o tipo na importação","OK"))))))</f>
        <v/>
      </c>
    </row>
    <row r="185">
      <c r="A185" s="16" t="n"/>
      <c r="B185" s="16" t="n"/>
      <c r="C185" s="16" t="n"/>
      <c r="D185" s="16" t="n"/>
      <c r="E185" s="17" t="n"/>
      <c r="F185" s="16" t="n"/>
      <c r="G185" s="15">
        <f>IF($C185="","",IFERROR(LOOKUP(2,1/((Reconhecimento!$A$5:$A$310&lt;&gt;"")*ISNUMBER(SEARCH(" "&amp;Reconhecimento!$A$5:$A$310," "&amp;$C185))),Reconhecimento!$B$5:$B$310),"Confira: escolha na importação"))</f>
        <v/>
      </c>
      <c r="H185" s="15">
        <f>IF($C185="","",IFERROR(LOOKUP(2,1/((Reconhecimento!$A$5:$A$310&lt;&gt;"")*ISNUMBER(SEARCH(" "&amp;Reconhecimento!$A$5:$A$310," "&amp;$C185))),Reconhecimento!$C$5:$C$310),"—"))</f>
        <v/>
      </c>
      <c r="I185" s="15">
        <f>IF($C185="","",IFERROR(VLOOKUP($G185,Tipos!$A$5:$B$51,2,FALSE),"—"))</f>
        <v/>
      </c>
      <c r="J185" s="15">
        <f>IF(COUNTA($A185:$C185)=0,"",IF($A185="","Falta a Área",IF($B185="","Falta o Setor",IF($C185="","Falta o nome",IF(COUNTIF($C$6:$C$403,$C185)&gt;1,"Nome repetido: use 01, 02… ou a Qtd",IF(LEFT($G185,7)="Confira","Confira o tipo na importação","OK"))))))</f>
        <v/>
      </c>
    </row>
    <row r="186">
      <c r="A186" s="16" t="n"/>
      <c r="B186" s="16" t="n"/>
      <c r="C186" s="16" t="n"/>
      <c r="D186" s="16" t="n"/>
      <c r="E186" s="17" t="n"/>
      <c r="F186" s="16" t="n"/>
      <c r="G186" s="15">
        <f>IF($C186="","",IFERROR(LOOKUP(2,1/((Reconhecimento!$A$5:$A$310&lt;&gt;"")*ISNUMBER(SEARCH(" "&amp;Reconhecimento!$A$5:$A$310," "&amp;$C186))),Reconhecimento!$B$5:$B$310),"Confira: escolha na importação"))</f>
        <v/>
      </c>
      <c r="H186" s="15">
        <f>IF($C186="","",IFERROR(LOOKUP(2,1/((Reconhecimento!$A$5:$A$310&lt;&gt;"")*ISNUMBER(SEARCH(" "&amp;Reconhecimento!$A$5:$A$310," "&amp;$C186))),Reconhecimento!$C$5:$C$310),"—"))</f>
        <v/>
      </c>
      <c r="I186" s="15">
        <f>IF($C186="","",IFERROR(VLOOKUP($G186,Tipos!$A$5:$B$51,2,FALSE),"—"))</f>
        <v/>
      </c>
      <c r="J186" s="15">
        <f>IF(COUNTA($A186:$C186)=0,"",IF($A186="","Falta a Área",IF($B186="","Falta o Setor",IF($C186="","Falta o nome",IF(COUNTIF($C$6:$C$403,$C186)&gt;1,"Nome repetido: use 01, 02… ou a Qtd",IF(LEFT($G186,7)="Confira","Confira o tipo na importação","OK"))))))</f>
        <v/>
      </c>
    </row>
    <row r="187">
      <c r="A187" s="16" t="n"/>
      <c r="B187" s="16" t="n"/>
      <c r="C187" s="16" t="n"/>
      <c r="D187" s="16" t="n"/>
      <c r="E187" s="17" t="n"/>
      <c r="F187" s="16" t="n"/>
      <c r="G187" s="15">
        <f>IF($C187="","",IFERROR(LOOKUP(2,1/((Reconhecimento!$A$5:$A$310&lt;&gt;"")*ISNUMBER(SEARCH(" "&amp;Reconhecimento!$A$5:$A$310," "&amp;$C187))),Reconhecimento!$B$5:$B$310),"Confira: escolha na importação"))</f>
        <v/>
      </c>
      <c r="H187" s="15">
        <f>IF($C187="","",IFERROR(LOOKUP(2,1/((Reconhecimento!$A$5:$A$310&lt;&gt;"")*ISNUMBER(SEARCH(" "&amp;Reconhecimento!$A$5:$A$310," "&amp;$C187))),Reconhecimento!$C$5:$C$310),"—"))</f>
        <v/>
      </c>
      <c r="I187" s="15">
        <f>IF($C187="","",IFERROR(VLOOKUP($G187,Tipos!$A$5:$B$51,2,FALSE),"—"))</f>
        <v/>
      </c>
      <c r="J187" s="15">
        <f>IF(COUNTA($A187:$C187)=0,"",IF($A187="","Falta a Área",IF($B187="","Falta o Setor",IF($C187="","Falta o nome",IF(COUNTIF($C$6:$C$403,$C187)&gt;1,"Nome repetido: use 01, 02… ou a Qtd",IF(LEFT($G187,7)="Confira","Confira o tipo na importação","OK"))))))</f>
        <v/>
      </c>
    </row>
    <row r="188">
      <c r="A188" s="16" t="n"/>
      <c r="B188" s="16" t="n"/>
      <c r="C188" s="16" t="n"/>
      <c r="D188" s="16" t="n"/>
      <c r="E188" s="17" t="n"/>
      <c r="F188" s="16" t="n"/>
      <c r="G188" s="15">
        <f>IF($C188="","",IFERROR(LOOKUP(2,1/((Reconhecimento!$A$5:$A$310&lt;&gt;"")*ISNUMBER(SEARCH(" "&amp;Reconhecimento!$A$5:$A$310," "&amp;$C188))),Reconhecimento!$B$5:$B$310),"Confira: escolha na importação"))</f>
        <v/>
      </c>
      <c r="H188" s="15">
        <f>IF($C188="","",IFERROR(LOOKUP(2,1/((Reconhecimento!$A$5:$A$310&lt;&gt;"")*ISNUMBER(SEARCH(" "&amp;Reconhecimento!$A$5:$A$310," "&amp;$C188))),Reconhecimento!$C$5:$C$310),"—"))</f>
        <v/>
      </c>
      <c r="I188" s="15">
        <f>IF($C188="","",IFERROR(VLOOKUP($G188,Tipos!$A$5:$B$51,2,FALSE),"—"))</f>
        <v/>
      </c>
      <c r="J188" s="15">
        <f>IF(COUNTA($A188:$C188)=0,"",IF($A188="","Falta a Área",IF($B188="","Falta o Setor",IF($C188="","Falta o nome",IF(COUNTIF($C$6:$C$403,$C188)&gt;1,"Nome repetido: use 01, 02… ou a Qtd",IF(LEFT($G188,7)="Confira","Confira o tipo na importação","OK"))))))</f>
        <v/>
      </c>
    </row>
    <row r="189">
      <c r="A189" s="16" t="n"/>
      <c r="B189" s="16" t="n"/>
      <c r="C189" s="16" t="n"/>
      <c r="D189" s="16" t="n"/>
      <c r="E189" s="17" t="n"/>
      <c r="F189" s="16" t="n"/>
      <c r="G189" s="15">
        <f>IF($C189="","",IFERROR(LOOKUP(2,1/((Reconhecimento!$A$5:$A$310&lt;&gt;"")*ISNUMBER(SEARCH(" "&amp;Reconhecimento!$A$5:$A$310," "&amp;$C189))),Reconhecimento!$B$5:$B$310),"Confira: escolha na importação"))</f>
        <v/>
      </c>
      <c r="H189" s="15">
        <f>IF($C189="","",IFERROR(LOOKUP(2,1/((Reconhecimento!$A$5:$A$310&lt;&gt;"")*ISNUMBER(SEARCH(" "&amp;Reconhecimento!$A$5:$A$310," "&amp;$C189))),Reconhecimento!$C$5:$C$310),"—"))</f>
        <v/>
      </c>
      <c r="I189" s="15">
        <f>IF($C189="","",IFERROR(VLOOKUP($G189,Tipos!$A$5:$B$51,2,FALSE),"—"))</f>
        <v/>
      </c>
      <c r="J189" s="15">
        <f>IF(COUNTA($A189:$C189)=0,"",IF($A189="","Falta a Área",IF($B189="","Falta o Setor",IF($C189="","Falta o nome",IF(COUNTIF($C$6:$C$403,$C189)&gt;1,"Nome repetido: use 01, 02… ou a Qtd",IF(LEFT($G189,7)="Confira","Confira o tipo na importação","OK"))))))</f>
        <v/>
      </c>
    </row>
    <row r="190">
      <c r="A190" s="16" t="n"/>
      <c r="B190" s="16" t="n"/>
      <c r="C190" s="16" t="n"/>
      <c r="D190" s="16" t="n"/>
      <c r="E190" s="17" t="n"/>
      <c r="F190" s="16" t="n"/>
      <c r="G190" s="15">
        <f>IF($C190="","",IFERROR(LOOKUP(2,1/((Reconhecimento!$A$5:$A$310&lt;&gt;"")*ISNUMBER(SEARCH(" "&amp;Reconhecimento!$A$5:$A$310," "&amp;$C190))),Reconhecimento!$B$5:$B$310),"Confira: escolha na importação"))</f>
        <v/>
      </c>
      <c r="H190" s="15">
        <f>IF($C190="","",IFERROR(LOOKUP(2,1/((Reconhecimento!$A$5:$A$310&lt;&gt;"")*ISNUMBER(SEARCH(" "&amp;Reconhecimento!$A$5:$A$310," "&amp;$C190))),Reconhecimento!$C$5:$C$310),"—"))</f>
        <v/>
      </c>
      <c r="I190" s="15">
        <f>IF($C190="","",IFERROR(VLOOKUP($G190,Tipos!$A$5:$B$51,2,FALSE),"—"))</f>
        <v/>
      </c>
      <c r="J190" s="15">
        <f>IF(COUNTA($A190:$C190)=0,"",IF($A190="","Falta a Área",IF($B190="","Falta o Setor",IF($C190="","Falta o nome",IF(COUNTIF($C$6:$C$403,$C190)&gt;1,"Nome repetido: use 01, 02… ou a Qtd",IF(LEFT($G190,7)="Confira","Confira o tipo na importação","OK"))))))</f>
        <v/>
      </c>
    </row>
    <row r="191">
      <c r="A191" s="16" t="n"/>
      <c r="B191" s="16" t="n"/>
      <c r="C191" s="16" t="n"/>
      <c r="D191" s="16" t="n"/>
      <c r="E191" s="17" t="n"/>
      <c r="F191" s="16" t="n"/>
      <c r="G191" s="15">
        <f>IF($C191="","",IFERROR(LOOKUP(2,1/((Reconhecimento!$A$5:$A$310&lt;&gt;"")*ISNUMBER(SEARCH(" "&amp;Reconhecimento!$A$5:$A$310," "&amp;$C191))),Reconhecimento!$B$5:$B$310),"Confira: escolha na importação"))</f>
        <v/>
      </c>
      <c r="H191" s="15">
        <f>IF($C191="","",IFERROR(LOOKUP(2,1/((Reconhecimento!$A$5:$A$310&lt;&gt;"")*ISNUMBER(SEARCH(" "&amp;Reconhecimento!$A$5:$A$310," "&amp;$C191))),Reconhecimento!$C$5:$C$310),"—"))</f>
        <v/>
      </c>
      <c r="I191" s="15">
        <f>IF($C191="","",IFERROR(VLOOKUP($G191,Tipos!$A$5:$B$51,2,FALSE),"—"))</f>
        <v/>
      </c>
      <c r="J191" s="15">
        <f>IF(COUNTA($A191:$C191)=0,"",IF($A191="","Falta a Área",IF($B191="","Falta o Setor",IF($C191="","Falta o nome",IF(COUNTIF($C$6:$C$403,$C191)&gt;1,"Nome repetido: use 01, 02… ou a Qtd",IF(LEFT($G191,7)="Confira","Confira o tipo na importação","OK"))))))</f>
        <v/>
      </c>
    </row>
    <row r="192">
      <c r="A192" s="16" t="n"/>
      <c r="B192" s="16" t="n"/>
      <c r="C192" s="16" t="n"/>
      <c r="D192" s="16" t="n"/>
      <c r="E192" s="17" t="n"/>
      <c r="F192" s="16" t="n"/>
      <c r="G192" s="15">
        <f>IF($C192="","",IFERROR(LOOKUP(2,1/((Reconhecimento!$A$5:$A$310&lt;&gt;"")*ISNUMBER(SEARCH(" "&amp;Reconhecimento!$A$5:$A$310," "&amp;$C192))),Reconhecimento!$B$5:$B$310),"Confira: escolha na importação"))</f>
        <v/>
      </c>
      <c r="H192" s="15">
        <f>IF($C192="","",IFERROR(LOOKUP(2,1/((Reconhecimento!$A$5:$A$310&lt;&gt;"")*ISNUMBER(SEARCH(" "&amp;Reconhecimento!$A$5:$A$310," "&amp;$C192))),Reconhecimento!$C$5:$C$310),"—"))</f>
        <v/>
      </c>
      <c r="I192" s="15">
        <f>IF($C192="","",IFERROR(VLOOKUP($G192,Tipos!$A$5:$B$51,2,FALSE),"—"))</f>
        <v/>
      </c>
      <c r="J192" s="15">
        <f>IF(COUNTA($A192:$C192)=0,"",IF($A192="","Falta a Área",IF($B192="","Falta o Setor",IF($C192="","Falta o nome",IF(COUNTIF($C$6:$C$403,$C192)&gt;1,"Nome repetido: use 01, 02… ou a Qtd",IF(LEFT($G192,7)="Confira","Confira o tipo na importação","OK"))))))</f>
        <v/>
      </c>
    </row>
    <row r="193">
      <c r="A193" s="16" t="n"/>
      <c r="B193" s="16" t="n"/>
      <c r="C193" s="16" t="n"/>
      <c r="D193" s="16" t="n"/>
      <c r="E193" s="17" t="n"/>
      <c r="F193" s="16" t="n"/>
      <c r="G193" s="15">
        <f>IF($C193="","",IFERROR(LOOKUP(2,1/((Reconhecimento!$A$5:$A$310&lt;&gt;"")*ISNUMBER(SEARCH(" "&amp;Reconhecimento!$A$5:$A$310," "&amp;$C193))),Reconhecimento!$B$5:$B$310),"Confira: escolha na importação"))</f>
        <v/>
      </c>
      <c r="H193" s="15">
        <f>IF($C193="","",IFERROR(LOOKUP(2,1/((Reconhecimento!$A$5:$A$310&lt;&gt;"")*ISNUMBER(SEARCH(" "&amp;Reconhecimento!$A$5:$A$310," "&amp;$C193))),Reconhecimento!$C$5:$C$310),"—"))</f>
        <v/>
      </c>
      <c r="I193" s="15">
        <f>IF($C193="","",IFERROR(VLOOKUP($G193,Tipos!$A$5:$B$51,2,FALSE),"—"))</f>
        <v/>
      </c>
      <c r="J193" s="15">
        <f>IF(COUNTA($A193:$C193)=0,"",IF($A193="","Falta a Área",IF($B193="","Falta o Setor",IF($C193="","Falta o nome",IF(COUNTIF($C$6:$C$403,$C193)&gt;1,"Nome repetido: use 01, 02… ou a Qtd",IF(LEFT($G193,7)="Confira","Confira o tipo na importação","OK"))))))</f>
        <v/>
      </c>
    </row>
    <row r="194">
      <c r="A194" s="16" t="n"/>
      <c r="B194" s="16" t="n"/>
      <c r="C194" s="16" t="n"/>
      <c r="D194" s="16" t="n"/>
      <c r="E194" s="17" t="n"/>
      <c r="F194" s="16" t="n"/>
      <c r="G194" s="15">
        <f>IF($C194="","",IFERROR(LOOKUP(2,1/((Reconhecimento!$A$5:$A$310&lt;&gt;"")*ISNUMBER(SEARCH(" "&amp;Reconhecimento!$A$5:$A$310," "&amp;$C194))),Reconhecimento!$B$5:$B$310),"Confira: escolha na importação"))</f>
        <v/>
      </c>
      <c r="H194" s="15">
        <f>IF($C194="","",IFERROR(LOOKUP(2,1/((Reconhecimento!$A$5:$A$310&lt;&gt;"")*ISNUMBER(SEARCH(" "&amp;Reconhecimento!$A$5:$A$310," "&amp;$C194))),Reconhecimento!$C$5:$C$310),"—"))</f>
        <v/>
      </c>
      <c r="I194" s="15">
        <f>IF($C194="","",IFERROR(VLOOKUP($G194,Tipos!$A$5:$B$51,2,FALSE),"—"))</f>
        <v/>
      </c>
      <c r="J194" s="15">
        <f>IF(COUNTA($A194:$C194)=0,"",IF($A194="","Falta a Área",IF($B194="","Falta o Setor",IF($C194="","Falta o nome",IF(COUNTIF($C$6:$C$403,$C194)&gt;1,"Nome repetido: use 01, 02… ou a Qtd",IF(LEFT($G194,7)="Confira","Confira o tipo na importação","OK"))))))</f>
        <v/>
      </c>
    </row>
    <row r="195">
      <c r="A195" s="16" t="n"/>
      <c r="B195" s="16" t="n"/>
      <c r="C195" s="16" t="n"/>
      <c r="D195" s="16" t="n"/>
      <c r="E195" s="17" t="n"/>
      <c r="F195" s="16" t="n"/>
      <c r="G195" s="15">
        <f>IF($C195="","",IFERROR(LOOKUP(2,1/((Reconhecimento!$A$5:$A$310&lt;&gt;"")*ISNUMBER(SEARCH(" "&amp;Reconhecimento!$A$5:$A$310," "&amp;$C195))),Reconhecimento!$B$5:$B$310),"Confira: escolha na importação"))</f>
        <v/>
      </c>
      <c r="H195" s="15">
        <f>IF($C195="","",IFERROR(LOOKUP(2,1/((Reconhecimento!$A$5:$A$310&lt;&gt;"")*ISNUMBER(SEARCH(" "&amp;Reconhecimento!$A$5:$A$310," "&amp;$C195))),Reconhecimento!$C$5:$C$310),"—"))</f>
        <v/>
      </c>
      <c r="I195" s="15">
        <f>IF($C195="","",IFERROR(VLOOKUP($G195,Tipos!$A$5:$B$51,2,FALSE),"—"))</f>
        <v/>
      </c>
      <c r="J195" s="15">
        <f>IF(COUNTA($A195:$C195)=0,"",IF($A195="","Falta a Área",IF($B195="","Falta o Setor",IF($C195="","Falta o nome",IF(COUNTIF($C$6:$C$403,$C195)&gt;1,"Nome repetido: use 01, 02… ou a Qtd",IF(LEFT($G195,7)="Confira","Confira o tipo na importação","OK"))))))</f>
        <v/>
      </c>
    </row>
    <row r="196">
      <c r="A196" s="16" t="n"/>
      <c r="B196" s="16" t="n"/>
      <c r="C196" s="16" t="n"/>
      <c r="D196" s="16" t="n"/>
      <c r="E196" s="17" t="n"/>
      <c r="F196" s="16" t="n"/>
      <c r="G196" s="15">
        <f>IF($C196="","",IFERROR(LOOKUP(2,1/((Reconhecimento!$A$5:$A$310&lt;&gt;"")*ISNUMBER(SEARCH(" "&amp;Reconhecimento!$A$5:$A$310," "&amp;$C196))),Reconhecimento!$B$5:$B$310),"Confira: escolha na importação"))</f>
        <v/>
      </c>
      <c r="H196" s="15">
        <f>IF($C196="","",IFERROR(LOOKUP(2,1/((Reconhecimento!$A$5:$A$310&lt;&gt;"")*ISNUMBER(SEARCH(" "&amp;Reconhecimento!$A$5:$A$310," "&amp;$C196))),Reconhecimento!$C$5:$C$310),"—"))</f>
        <v/>
      </c>
      <c r="I196" s="15">
        <f>IF($C196="","",IFERROR(VLOOKUP($G196,Tipos!$A$5:$B$51,2,FALSE),"—"))</f>
        <v/>
      </c>
      <c r="J196" s="15">
        <f>IF(COUNTA($A196:$C196)=0,"",IF($A196="","Falta a Área",IF($B196="","Falta o Setor",IF($C196="","Falta o nome",IF(COUNTIF($C$6:$C$403,$C196)&gt;1,"Nome repetido: use 01, 02… ou a Qtd",IF(LEFT($G196,7)="Confira","Confira o tipo na importação","OK"))))))</f>
        <v/>
      </c>
    </row>
    <row r="197">
      <c r="A197" s="16" t="n"/>
      <c r="B197" s="16" t="n"/>
      <c r="C197" s="16" t="n"/>
      <c r="D197" s="16" t="n"/>
      <c r="E197" s="17" t="n"/>
      <c r="F197" s="16" t="n"/>
      <c r="G197" s="15">
        <f>IF($C197="","",IFERROR(LOOKUP(2,1/((Reconhecimento!$A$5:$A$310&lt;&gt;"")*ISNUMBER(SEARCH(" "&amp;Reconhecimento!$A$5:$A$310," "&amp;$C197))),Reconhecimento!$B$5:$B$310),"Confira: escolha na importação"))</f>
        <v/>
      </c>
      <c r="H197" s="15">
        <f>IF($C197="","",IFERROR(LOOKUP(2,1/((Reconhecimento!$A$5:$A$310&lt;&gt;"")*ISNUMBER(SEARCH(" "&amp;Reconhecimento!$A$5:$A$310," "&amp;$C197))),Reconhecimento!$C$5:$C$310),"—"))</f>
        <v/>
      </c>
      <c r="I197" s="15">
        <f>IF($C197="","",IFERROR(VLOOKUP($G197,Tipos!$A$5:$B$51,2,FALSE),"—"))</f>
        <v/>
      </c>
      <c r="J197" s="15">
        <f>IF(COUNTA($A197:$C197)=0,"",IF($A197="","Falta a Área",IF($B197="","Falta o Setor",IF($C197="","Falta o nome",IF(COUNTIF($C$6:$C$403,$C197)&gt;1,"Nome repetido: use 01, 02… ou a Qtd",IF(LEFT($G197,7)="Confira","Confira o tipo na importação","OK"))))))</f>
        <v/>
      </c>
    </row>
    <row r="198">
      <c r="A198" s="16" t="n"/>
      <c r="B198" s="16" t="n"/>
      <c r="C198" s="16" t="n"/>
      <c r="D198" s="16" t="n"/>
      <c r="E198" s="17" t="n"/>
      <c r="F198" s="16" t="n"/>
      <c r="G198" s="15">
        <f>IF($C198="","",IFERROR(LOOKUP(2,1/((Reconhecimento!$A$5:$A$310&lt;&gt;"")*ISNUMBER(SEARCH(" "&amp;Reconhecimento!$A$5:$A$310," "&amp;$C198))),Reconhecimento!$B$5:$B$310),"Confira: escolha na importação"))</f>
        <v/>
      </c>
      <c r="H198" s="15">
        <f>IF($C198="","",IFERROR(LOOKUP(2,1/((Reconhecimento!$A$5:$A$310&lt;&gt;"")*ISNUMBER(SEARCH(" "&amp;Reconhecimento!$A$5:$A$310," "&amp;$C198))),Reconhecimento!$C$5:$C$310),"—"))</f>
        <v/>
      </c>
      <c r="I198" s="15">
        <f>IF($C198="","",IFERROR(VLOOKUP($G198,Tipos!$A$5:$B$51,2,FALSE),"—"))</f>
        <v/>
      </c>
      <c r="J198" s="15">
        <f>IF(COUNTA($A198:$C198)=0,"",IF($A198="","Falta a Área",IF($B198="","Falta o Setor",IF($C198="","Falta o nome",IF(COUNTIF($C$6:$C$403,$C198)&gt;1,"Nome repetido: use 01, 02… ou a Qtd",IF(LEFT($G198,7)="Confira","Confira o tipo na importação","OK"))))))</f>
        <v/>
      </c>
    </row>
    <row r="199">
      <c r="A199" s="16" t="n"/>
      <c r="B199" s="16" t="n"/>
      <c r="C199" s="16" t="n"/>
      <c r="D199" s="16" t="n"/>
      <c r="E199" s="17" t="n"/>
      <c r="F199" s="16" t="n"/>
      <c r="G199" s="15">
        <f>IF($C199="","",IFERROR(LOOKUP(2,1/((Reconhecimento!$A$5:$A$310&lt;&gt;"")*ISNUMBER(SEARCH(" "&amp;Reconhecimento!$A$5:$A$310," "&amp;$C199))),Reconhecimento!$B$5:$B$310),"Confira: escolha na importação"))</f>
        <v/>
      </c>
      <c r="H199" s="15">
        <f>IF($C199="","",IFERROR(LOOKUP(2,1/((Reconhecimento!$A$5:$A$310&lt;&gt;"")*ISNUMBER(SEARCH(" "&amp;Reconhecimento!$A$5:$A$310," "&amp;$C199))),Reconhecimento!$C$5:$C$310),"—"))</f>
        <v/>
      </c>
      <c r="I199" s="15">
        <f>IF($C199="","",IFERROR(VLOOKUP($G199,Tipos!$A$5:$B$51,2,FALSE),"—"))</f>
        <v/>
      </c>
      <c r="J199" s="15">
        <f>IF(COUNTA($A199:$C199)=0,"",IF($A199="","Falta a Área",IF($B199="","Falta o Setor",IF($C199="","Falta o nome",IF(COUNTIF($C$6:$C$403,$C199)&gt;1,"Nome repetido: use 01, 02… ou a Qtd",IF(LEFT($G199,7)="Confira","Confira o tipo na importação","OK"))))))</f>
        <v/>
      </c>
    </row>
    <row r="200">
      <c r="A200" s="16" t="n"/>
      <c r="B200" s="16" t="n"/>
      <c r="C200" s="16" t="n"/>
      <c r="D200" s="16" t="n"/>
      <c r="E200" s="17" t="n"/>
      <c r="F200" s="16" t="n"/>
      <c r="G200" s="15">
        <f>IF($C200="","",IFERROR(LOOKUP(2,1/((Reconhecimento!$A$5:$A$310&lt;&gt;"")*ISNUMBER(SEARCH(" "&amp;Reconhecimento!$A$5:$A$310," "&amp;$C200))),Reconhecimento!$B$5:$B$310),"Confira: escolha na importação"))</f>
        <v/>
      </c>
      <c r="H200" s="15">
        <f>IF($C200="","",IFERROR(LOOKUP(2,1/((Reconhecimento!$A$5:$A$310&lt;&gt;"")*ISNUMBER(SEARCH(" "&amp;Reconhecimento!$A$5:$A$310," "&amp;$C200))),Reconhecimento!$C$5:$C$310),"—"))</f>
        <v/>
      </c>
      <c r="I200" s="15">
        <f>IF($C200="","",IFERROR(VLOOKUP($G200,Tipos!$A$5:$B$51,2,FALSE),"—"))</f>
        <v/>
      </c>
      <c r="J200" s="15">
        <f>IF(COUNTA($A200:$C200)=0,"",IF($A200="","Falta a Área",IF($B200="","Falta o Setor",IF($C200="","Falta o nome",IF(COUNTIF($C$6:$C$403,$C200)&gt;1,"Nome repetido: use 01, 02… ou a Qtd",IF(LEFT($G200,7)="Confira","Confira o tipo na importação","OK"))))))</f>
        <v/>
      </c>
    </row>
    <row r="201">
      <c r="A201" s="16" t="n"/>
      <c r="B201" s="16" t="n"/>
      <c r="C201" s="16" t="n"/>
      <c r="D201" s="16" t="n"/>
      <c r="E201" s="17" t="n"/>
      <c r="F201" s="16" t="n"/>
      <c r="G201" s="15">
        <f>IF($C201="","",IFERROR(LOOKUP(2,1/((Reconhecimento!$A$5:$A$310&lt;&gt;"")*ISNUMBER(SEARCH(" "&amp;Reconhecimento!$A$5:$A$310," "&amp;$C201))),Reconhecimento!$B$5:$B$310),"Confira: escolha na importação"))</f>
        <v/>
      </c>
      <c r="H201" s="15">
        <f>IF($C201="","",IFERROR(LOOKUP(2,1/((Reconhecimento!$A$5:$A$310&lt;&gt;"")*ISNUMBER(SEARCH(" "&amp;Reconhecimento!$A$5:$A$310," "&amp;$C201))),Reconhecimento!$C$5:$C$310),"—"))</f>
        <v/>
      </c>
      <c r="I201" s="15">
        <f>IF($C201="","",IFERROR(VLOOKUP($G201,Tipos!$A$5:$B$51,2,FALSE),"—"))</f>
        <v/>
      </c>
      <c r="J201" s="15">
        <f>IF(COUNTA($A201:$C201)=0,"",IF($A201="","Falta a Área",IF($B201="","Falta o Setor",IF($C201="","Falta o nome",IF(COUNTIF($C$6:$C$403,$C201)&gt;1,"Nome repetido: use 01, 02… ou a Qtd",IF(LEFT($G201,7)="Confira","Confira o tipo na importação","OK"))))))</f>
        <v/>
      </c>
    </row>
    <row r="202">
      <c r="A202" s="16" t="n"/>
      <c r="B202" s="16" t="n"/>
      <c r="C202" s="16" t="n"/>
      <c r="D202" s="16" t="n"/>
      <c r="E202" s="17" t="n"/>
      <c r="F202" s="16" t="n"/>
      <c r="G202" s="15">
        <f>IF($C202="","",IFERROR(LOOKUP(2,1/((Reconhecimento!$A$5:$A$310&lt;&gt;"")*ISNUMBER(SEARCH(" "&amp;Reconhecimento!$A$5:$A$310," "&amp;$C202))),Reconhecimento!$B$5:$B$310),"Confira: escolha na importação"))</f>
        <v/>
      </c>
      <c r="H202" s="15">
        <f>IF($C202="","",IFERROR(LOOKUP(2,1/((Reconhecimento!$A$5:$A$310&lt;&gt;"")*ISNUMBER(SEARCH(" "&amp;Reconhecimento!$A$5:$A$310," "&amp;$C202))),Reconhecimento!$C$5:$C$310),"—"))</f>
        <v/>
      </c>
      <c r="I202" s="15">
        <f>IF($C202="","",IFERROR(VLOOKUP($G202,Tipos!$A$5:$B$51,2,FALSE),"—"))</f>
        <v/>
      </c>
      <c r="J202" s="15">
        <f>IF(COUNTA($A202:$C202)=0,"",IF($A202="","Falta a Área",IF($B202="","Falta o Setor",IF($C202="","Falta o nome",IF(COUNTIF($C$6:$C$403,$C202)&gt;1,"Nome repetido: use 01, 02… ou a Qtd",IF(LEFT($G202,7)="Confira","Confira o tipo na importação","OK"))))))</f>
        <v/>
      </c>
    </row>
    <row r="203">
      <c r="A203" s="16" t="n"/>
      <c r="B203" s="16" t="n"/>
      <c r="C203" s="16" t="n"/>
      <c r="D203" s="16" t="n"/>
      <c r="E203" s="17" t="n"/>
      <c r="F203" s="16" t="n"/>
      <c r="G203" s="15">
        <f>IF($C203="","",IFERROR(LOOKUP(2,1/((Reconhecimento!$A$5:$A$310&lt;&gt;"")*ISNUMBER(SEARCH(" "&amp;Reconhecimento!$A$5:$A$310," "&amp;$C203))),Reconhecimento!$B$5:$B$310),"Confira: escolha na importação"))</f>
        <v/>
      </c>
      <c r="H203" s="15">
        <f>IF($C203="","",IFERROR(LOOKUP(2,1/((Reconhecimento!$A$5:$A$310&lt;&gt;"")*ISNUMBER(SEARCH(" "&amp;Reconhecimento!$A$5:$A$310," "&amp;$C203))),Reconhecimento!$C$5:$C$310),"—"))</f>
        <v/>
      </c>
      <c r="I203" s="15">
        <f>IF($C203="","",IFERROR(VLOOKUP($G203,Tipos!$A$5:$B$51,2,FALSE),"—"))</f>
        <v/>
      </c>
      <c r="J203" s="15">
        <f>IF(COUNTA($A203:$C203)=0,"",IF($A203="","Falta a Área",IF($B203="","Falta o Setor",IF($C203="","Falta o nome",IF(COUNTIF($C$6:$C$403,$C203)&gt;1,"Nome repetido: use 01, 02… ou a Qtd",IF(LEFT($G203,7)="Confira","Confira o tipo na importação","OK"))))))</f>
        <v/>
      </c>
    </row>
    <row r="204">
      <c r="A204" s="16" t="n"/>
      <c r="B204" s="16" t="n"/>
      <c r="C204" s="16" t="n"/>
      <c r="D204" s="16" t="n"/>
      <c r="E204" s="17" t="n"/>
      <c r="F204" s="16" t="n"/>
      <c r="G204" s="15">
        <f>IF($C204="","",IFERROR(LOOKUP(2,1/((Reconhecimento!$A$5:$A$310&lt;&gt;"")*ISNUMBER(SEARCH(" "&amp;Reconhecimento!$A$5:$A$310," "&amp;$C204))),Reconhecimento!$B$5:$B$310),"Confira: escolha na importação"))</f>
        <v/>
      </c>
      <c r="H204" s="15">
        <f>IF($C204="","",IFERROR(LOOKUP(2,1/((Reconhecimento!$A$5:$A$310&lt;&gt;"")*ISNUMBER(SEARCH(" "&amp;Reconhecimento!$A$5:$A$310," "&amp;$C204))),Reconhecimento!$C$5:$C$310),"—"))</f>
        <v/>
      </c>
      <c r="I204" s="15">
        <f>IF($C204="","",IFERROR(VLOOKUP($G204,Tipos!$A$5:$B$51,2,FALSE),"—"))</f>
        <v/>
      </c>
      <c r="J204" s="15">
        <f>IF(COUNTA($A204:$C204)=0,"",IF($A204="","Falta a Área",IF($B204="","Falta o Setor",IF($C204="","Falta o nome",IF(COUNTIF($C$6:$C$403,$C204)&gt;1,"Nome repetido: use 01, 02… ou a Qtd",IF(LEFT($G204,7)="Confira","Confira o tipo na importação","OK"))))))</f>
        <v/>
      </c>
    </row>
    <row r="205">
      <c r="A205" s="16" t="n"/>
      <c r="B205" s="16" t="n"/>
      <c r="C205" s="16" t="n"/>
      <c r="D205" s="16" t="n"/>
      <c r="E205" s="17" t="n"/>
      <c r="F205" s="16" t="n"/>
      <c r="G205" s="15">
        <f>IF($C205="","",IFERROR(LOOKUP(2,1/((Reconhecimento!$A$5:$A$310&lt;&gt;"")*ISNUMBER(SEARCH(" "&amp;Reconhecimento!$A$5:$A$310," "&amp;$C205))),Reconhecimento!$B$5:$B$310),"Confira: escolha na importação"))</f>
        <v/>
      </c>
      <c r="H205" s="15">
        <f>IF($C205="","",IFERROR(LOOKUP(2,1/((Reconhecimento!$A$5:$A$310&lt;&gt;"")*ISNUMBER(SEARCH(" "&amp;Reconhecimento!$A$5:$A$310," "&amp;$C205))),Reconhecimento!$C$5:$C$310),"—"))</f>
        <v/>
      </c>
      <c r="I205" s="15">
        <f>IF($C205="","",IFERROR(VLOOKUP($G205,Tipos!$A$5:$B$51,2,FALSE),"—"))</f>
        <v/>
      </c>
      <c r="J205" s="15">
        <f>IF(COUNTA($A205:$C205)=0,"",IF($A205="","Falta a Área",IF($B205="","Falta o Setor",IF($C205="","Falta o nome",IF(COUNTIF($C$6:$C$403,$C205)&gt;1,"Nome repetido: use 01, 02… ou a Qtd",IF(LEFT($G205,7)="Confira","Confira o tipo na importação","OK"))))))</f>
        <v/>
      </c>
    </row>
    <row r="206">
      <c r="A206" s="16" t="n"/>
      <c r="B206" s="16" t="n"/>
      <c r="C206" s="16" t="n"/>
      <c r="D206" s="16" t="n"/>
      <c r="E206" s="17" t="n"/>
      <c r="F206" s="16" t="n"/>
      <c r="G206" s="15">
        <f>IF($C206="","",IFERROR(LOOKUP(2,1/((Reconhecimento!$A$5:$A$310&lt;&gt;"")*ISNUMBER(SEARCH(" "&amp;Reconhecimento!$A$5:$A$310," "&amp;$C206))),Reconhecimento!$B$5:$B$310),"Confira: escolha na importação"))</f>
        <v/>
      </c>
      <c r="H206" s="15">
        <f>IF($C206="","",IFERROR(LOOKUP(2,1/((Reconhecimento!$A$5:$A$310&lt;&gt;"")*ISNUMBER(SEARCH(" "&amp;Reconhecimento!$A$5:$A$310," "&amp;$C206))),Reconhecimento!$C$5:$C$310),"—"))</f>
        <v/>
      </c>
      <c r="I206" s="15">
        <f>IF($C206="","",IFERROR(VLOOKUP($G206,Tipos!$A$5:$B$51,2,FALSE),"—"))</f>
        <v/>
      </c>
      <c r="J206" s="15">
        <f>IF(COUNTA($A206:$C206)=0,"",IF($A206="","Falta a Área",IF($B206="","Falta o Setor",IF($C206="","Falta o nome",IF(COUNTIF($C$6:$C$403,$C206)&gt;1,"Nome repetido: use 01, 02… ou a Qtd",IF(LEFT($G206,7)="Confira","Confira o tipo na importação","OK"))))))</f>
        <v/>
      </c>
    </row>
    <row r="207">
      <c r="A207" s="16" t="n"/>
      <c r="B207" s="16" t="n"/>
      <c r="C207" s="16" t="n"/>
      <c r="D207" s="16" t="n"/>
      <c r="E207" s="17" t="n"/>
      <c r="F207" s="16" t="n"/>
      <c r="G207" s="15">
        <f>IF($C207="","",IFERROR(LOOKUP(2,1/((Reconhecimento!$A$5:$A$310&lt;&gt;"")*ISNUMBER(SEARCH(" "&amp;Reconhecimento!$A$5:$A$310," "&amp;$C207))),Reconhecimento!$B$5:$B$310),"Confira: escolha na importação"))</f>
        <v/>
      </c>
      <c r="H207" s="15">
        <f>IF($C207="","",IFERROR(LOOKUP(2,1/((Reconhecimento!$A$5:$A$310&lt;&gt;"")*ISNUMBER(SEARCH(" "&amp;Reconhecimento!$A$5:$A$310," "&amp;$C207))),Reconhecimento!$C$5:$C$310),"—"))</f>
        <v/>
      </c>
      <c r="I207" s="15">
        <f>IF($C207="","",IFERROR(VLOOKUP($G207,Tipos!$A$5:$B$51,2,FALSE),"—"))</f>
        <v/>
      </c>
      <c r="J207" s="15">
        <f>IF(COUNTA($A207:$C207)=0,"",IF($A207="","Falta a Área",IF($B207="","Falta o Setor",IF($C207="","Falta o nome",IF(COUNTIF($C$6:$C$403,$C207)&gt;1,"Nome repetido: use 01, 02… ou a Qtd",IF(LEFT($G207,7)="Confira","Confira o tipo na importação","OK"))))))</f>
        <v/>
      </c>
    </row>
    <row r="208">
      <c r="A208" s="16" t="n"/>
      <c r="B208" s="16" t="n"/>
      <c r="C208" s="16" t="n"/>
      <c r="D208" s="16" t="n"/>
      <c r="E208" s="17" t="n"/>
      <c r="F208" s="16" t="n"/>
      <c r="G208" s="15">
        <f>IF($C208="","",IFERROR(LOOKUP(2,1/((Reconhecimento!$A$5:$A$310&lt;&gt;"")*ISNUMBER(SEARCH(" "&amp;Reconhecimento!$A$5:$A$310," "&amp;$C208))),Reconhecimento!$B$5:$B$310),"Confira: escolha na importação"))</f>
        <v/>
      </c>
      <c r="H208" s="15">
        <f>IF($C208="","",IFERROR(LOOKUP(2,1/((Reconhecimento!$A$5:$A$310&lt;&gt;"")*ISNUMBER(SEARCH(" "&amp;Reconhecimento!$A$5:$A$310," "&amp;$C208))),Reconhecimento!$C$5:$C$310),"—"))</f>
        <v/>
      </c>
      <c r="I208" s="15">
        <f>IF($C208="","",IFERROR(VLOOKUP($G208,Tipos!$A$5:$B$51,2,FALSE),"—"))</f>
        <v/>
      </c>
      <c r="J208" s="15">
        <f>IF(COUNTA($A208:$C208)=0,"",IF($A208="","Falta a Área",IF($B208="","Falta o Setor",IF($C208="","Falta o nome",IF(COUNTIF($C$6:$C$403,$C208)&gt;1,"Nome repetido: use 01, 02… ou a Qtd",IF(LEFT($G208,7)="Confira","Confira o tipo na importação","OK"))))))</f>
        <v/>
      </c>
    </row>
    <row r="209">
      <c r="A209" s="16" t="n"/>
      <c r="B209" s="16" t="n"/>
      <c r="C209" s="16" t="n"/>
      <c r="D209" s="16" t="n"/>
      <c r="E209" s="17" t="n"/>
      <c r="F209" s="16" t="n"/>
      <c r="G209" s="15">
        <f>IF($C209="","",IFERROR(LOOKUP(2,1/((Reconhecimento!$A$5:$A$310&lt;&gt;"")*ISNUMBER(SEARCH(" "&amp;Reconhecimento!$A$5:$A$310," "&amp;$C209))),Reconhecimento!$B$5:$B$310),"Confira: escolha na importação"))</f>
        <v/>
      </c>
      <c r="H209" s="15">
        <f>IF($C209="","",IFERROR(LOOKUP(2,1/((Reconhecimento!$A$5:$A$310&lt;&gt;"")*ISNUMBER(SEARCH(" "&amp;Reconhecimento!$A$5:$A$310," "&amp;$C209))),Reconhecimento!$C$5:$C$310),"—"))</f>
        <v/>
      </c>
      <c r="I209" s="15">
        <f>IF($C209="","",IFERROR(VLOOKUP($G209,Tipos!$A$5:$B$51,2,FALSE),"—"))</f>
        <v/>
      </c>
      <c r="J209" s="15">
        <f>IF(COUNTA($A209:$C209)=0,"",IF($A209="","Falta a Área",IF($B209="","Falta o Setor",IF($C209="","Falta o nome",IF(COUNTIF($C$6:$C$403,$C209)&gt;1,"Nome repetido: use 01, 02… ou a Qtd",IF(LEFT($G209,7)="Confira","Confira o tipo na importação","OK"))))))</f>
        <v/>
      </c>
    </row>
    <row r="210">
      <c r="A210" s="16" t="n"/>
      <c r="B210" s="16" t="n"/>
      <c r="C210" s="16" t="n"/>
      <c r="D210" s="16" t="n"/>
      <c r="E210" s="17" t="n"/>
      <c r="F210" s="16" t="n"/>
      <c r="G210" s="15">
        <f>IF($C210="","",IFERROR(LOOKUP(2,1/((Reconhecimento!$A$5:$A$310&lt;&gt;"")*ISNUMBER(SEARCH(" "&amp;Reconhecimento!$A$5:$A$310," "&amp;$C210))),Reconhecimento!$B$5:$B$310),"Confira: escolha na importação"))</f>
        <v/>
      </c>
      <c r="H210" s="15">
        <f>IF($C210="","",IFERROR(LOOKUP(2,1/((Reconhecimento!$A$5:$A$310&lt;&gt;"")*ISNUMBER(SEARCH(" "&amp;Reconhecimento!$A$5:$A$310," "&amp;$C210))),Reconhecimento!$C$5:$C$310),"—"))</f>
        <v/>
      </c>
      <c r="I210" s="15">
        <f>IF($C210="","",IFERROR(VLOOKUP($G210,Tipos!$A$5:$B$51,2,FALSE),"—"))</f>
        <v/>
      </c>
      <c r="J210" s="15">
        <f>IF(COUNTA($A210:$C210)=0,"",IF($A210="","Falta a Área",IF($B210="","Falta o Setor",IF($C210="","Falta o nome",IF(COUNTIF($C$6:$C$403,$C210)&gt;1,"Nome repetido: use 01, 02… ou a Qtd",IF(LEFT($G210,7)="Confira","Confira o tipo na importação","OK"))))))</f>
        <v/>
      </c>
    </row>
    <row r="211">
      <c r="A211" s="16" t="n"/>
      <c r="B211" s="16" t="n"/>
      <c r="C211" s="16" t="n"/>
      <c r="D211" s="16" t="n"/>
      <c r="E211" s="17" t="n"/>
      <c r="F211" s="16" t="n"/>
      <c r="G211" s="15">
        <f>IF($C211="","",IFERROR(LOOKUP(2,1/((Reconhecimento!$A$5:$A$310&lt;&gt;"")*ISNUMBER(SEARCH(" "&amp;Reconhecimento!$A$5:$A$310," "&amp;$C211))),Reconhecimento!$B$5:$B$310),"Confira: escolha na importação"))</f>
        <v/>
      </c>
      <c r="H211" s="15">
        <f>IF($C211="","",IFERROR(LOOKUP(2,1/((Reconhecimento!$A$5:$A$310&lt;&gt;"")*ISNUMBER(SEARCH(" "&amp;Reconhecimento!$A$5:$A$310," "&amp;$C211))),Reconhecimento!$C$5:$C$310),"—"))</f>
        <v/>
      </c>
      <c r="I211" s="15">
        <f>IF($C211="","",IFERROR(VLOOKUP($G211,Tipos!$A$5:$B$51,2,FALSE),"—"))</f>
        <v/>
      </c>
      <c r="J211" s="15">
        <f>IF(COUNTA($A211:$C211)=0,"",IF($A211="","Falta a Área",IF($B211="","Falta o Setor",IF($C211="","Falta o nome",IF(COUNTIF($C$6:$C$403,$C211)&gt;1,"Nome repetido: use 01, 02… ou a Qtd",IF(LEFT($G211,7)="Confira","Confira o tipo na importação","OK"))))))</f>
        <v/>
      </c>
    </row>
    <row r="212">
      <c r="A212" s="16" t="n"/>
      <c r="B212" s="16" t="n"/>
      <c r="C212" s="16" t="n"/>
      <c r="D212" s="16" t="n"/>
      <c r="E212" s="17" t="n"/>
      <c r="F212" s="16" t="n"/>
      <c r="G212" s="15">
        <f>IF($C212="","",IFERROR(LOOKUP(2,1/((Reconhecimento!$A$5:$A$310&lt;&gt;"")*ISNUMBER(SEARCH(" "&amp;Reconhecimento!$A$5:$A$310," "&amp;$C212))),Reconhecimento!$B$5:$B$310),"Confira: escolha na importação"))</f>
        <v/>
      </c>
      <c r="H212" s="15">
        <f>IF($C212="","",IFERROR(LOOKUP(2,1/((Reconhecimento!$A$5:$A$310&lt;&gt;"")*ISNUMBER(SEARCH(" "&amp;Reconhecimento!$A$5:$A$310," "&amp;$C212))),Reconhecimento!$C$5:$C$310),"—"))</f>
        <v/>
      </c>
      <c r="I212" s="15">
        <f>IF($C212="","",IFERROR(VLOOKUP($G212,Tipos!$A$5:$B$51,2,FALSE),"—"))</f>
        <v/>
      </c>
      <c r="J212" s="15">
        <f>IF(COUNTA($A212:$C212)=0,"",IF($A212="","Falta a Área",IF($B212="","Falta o Setor",IF($C212="","Falta o nome",IF(COUNTIF($C$6:$C$403,$C212)&gt;1,"Nome repetido: use 01, 02… ou a Qtd",IF(LEFT($G212,7)="Confira","Confira o tipo na importação","OK"))))))</f>
        <v/>
      </c>
    </row>
    <row r="213">
      <c r="A213" s="16" t="n"/>
      <c r="B213" s="16" t="n"/>
      <c r="C213" s="16" t="n"/>
      <c r="D213" s="16" t="n"/>
      <c r="E213" s="17" t="n"/>
      <c r="F213" s="16" t="n"/>
      <c r="G213" s="15">
        <f>IF($C213="","",IFERROR(LOOKUP(2,1/((Reconhecimento!$A$5:$A$310&lt;&gt;"")*ISNUMBER(SEARCH(" "&amp;Reconhecimento!$A$5:$A$310," "&amp;$C213))),Reconhecimento!$B$5:$B$310),"Confira: escolha na importação"))</f>
        <v/>
      </c>
      <c r="H213" s="15">
        <f>IF($C213="","",IFERROR(LOOKUP(2,1/((Reconhecimento!$A$5:$A$310&lt;&gt;"")*ISNUMBER(SEARCH(" "&amp;Reconhecimento!$A$5:$A$310," "&amp;$C213))),Reconhecimento!$C$5:$C$310),"—"))</f>
        <v/>
      </c>
      <c r="I213" s="15">
        <f>IF($C213="","",IFERROR(VLOOKUP($G213,Tipos!$A$5:$B$51,2,FALSE),"—"))</f>
        <v/>
      </c>
      <c r="J213" s="15">
        <f>IF(COUNTA($A213:$C213)=0,"",IF($A213="","Falta a Área",IF($B213="","Falta o Setor",IF($C213="","Falta o nome",IF(COUNTIF($C$6:$C$403,$C213)&gt;1,"Nome repetido: use 01, 02… ou a Qtd",IF(LEFT($G213,7)="Confira","Confira o tipo na importação","OK"))))))</f>
        <v/>
      </c>
    </row>
    <row r="214">
      <c r="A214" s="16" t="n"/>
      <c r="B214" s="16" t="n"/>
      <c r="C214" s="16" t="n"/>
      <c r="D214" s="16" t="n"/>
      <c r="E214" s="17" t="n"/>
      <c r="F214" s="16" t="n"/>
      <c r="G214" s="15">
        <f>IF($C214="","",IFERROR(LOOKUP(2,1/((Reconhecimento!$A$5:$A$310&lt;&gt;"")*ISNUMBER(SEARCH(" "&amp;Reconhecimento!$A$5:$A$310," "&amp;$C214))),Reconhecimento!$B$5:$B$310),"Confira: escolha na importação"))</f>
        <v/>
      </c>
      <c r="H214" s="15">
        <f>IF($C214="","",IFERROR(LOOKUP(2,1/((Reconhecimento!$A$5:$A$310&lt;&gt;"")*ISNUMBER(SEARCH(" "&amp;Reconhecimento!$A$5:$A$310," "&amp;$C214))),Reconhecimento!$C$5:$C$310),"—"))</f>
        <v/>
      </c>
      <c r="I214" s="15">
        <f>IF($C214="","",IFERROR(VLOOKUP($G214,Tipos!$A$5:$B$51,2,FALSE),"—"))</f>
        <v/>
      </c>
      <c r="J214" s="15">
        <f>IF(COUNTA($A214:$C214)=0,"",IF($A214="","Falta a Área",IF($B214="","Falta o Setor",IF($C214="","Falta o nome",IF(COUNTIF($C$6:$C$403,$C214)&gt;1,"Nome repetido: use 01, 02… ou a Qtd",IF(LEFT($G214,7)="Confira","Confira o tipo na importação","OK"))))))</f>
        <v/>
      </c>
    </row>
    <row r="215">
      <c r="A215" s="16" t="n"/>
      <c r="B215" s="16" t="n"/>
      <c r="C215" s="16" t="n"/>
      <c r="D215" s="16" t="n"/>
      <c r="E215" s="17" t="n"/>
      <c r="F215" s="16" t="n"/>
      <c r="G215" s="15">
        <f>IF($C215="","",IFERROR(LOOKUP(2,1/((Reconhecimento!$A$5:$A$310&lt;&gt;"")*ISNUMBER(SEARCH(" "&amp;Reconhecimento!$A$5:$A$310," "&amp;$C215))),Reconhecimento!$B$5:$B$310),"Confira: escolha na importação"))</f>
        <v/>
      </c>
      <c r="H215" s="15">
        <f>IF($C215="","",IFERROR(LOOKUP(2,1/((Reconhecimento!$A$5:$A$310&lt;&gt;"")*ISNUMBER(SEARCH(" "&amp;Reconhecimento!$A$5:$A$310," "&amp;$C215))),Reconhecimento!$C$5:$C$310),"—"))</f>
        <v/>
      </c>
      <c r="I215" s="15">
        <f>IF($C215="","",IFERROR(VLOOKUP($G215,Tipos!$A$5:$B$51,2,FALSE),"—"))</f>
        <v/>
      </c>
      <c r="J215" s="15">
        <f>IF(COUNTA($A215:$C215)=0,"",IF($A215="","Falta a Área",IF($B215="","Falta o Setor",IF($C215="","Falta o nome",IF(COUNTIF($C$6:$C$403,$C215)&gt;1,"Nome repetido: use 01, 02… ou a Qtd",IF(LEFT($G215,7)="Confira","Confira o tipo na importação","OK"))))))</f>
        <v/>
      </c>
    </row>
    <row r="216">
      <c r="A216" s="16" t="n"/>
      <c r="B216" s="16" t="n"/>
      <c r="C216" s="16" t="n"/>
      <c r="D216" s="16" t="n"/>
      <c r="E216" s="17" t="n"/>
      <c r="F216" s="16" t="n"/>
      <c r="G216" s="15">
        <f>IF($C216="","",IFERROR(LOOKUP(2,1/((Reconhecimento!$A$5:$A$310&lt;&gt;"")*ISNUMBER(SEARCH(" "&amp;Reconhecimento!$A$5:$A$310," "&amp;$C216))),Reconhecimento!$B$5:$B$310),"Confira: escolha na importação"))</f>
        <v/>
      </c>
      <c r="H216" s="15">
        <f>IF($C216="","",IFERROR(LOOKUP(2,1/((Reconhecimento!$A$5:$A$310&lt;&gt;"")*ISNUMBER(SEARCH(" "&amp;Reconhecimento!$A$5:$A$310," "&amp;$C216))),Reconhecimento!$C$5:$C$310),"—"))</f>
        <v/>
      </c>
      <c r="I216" s="15">
        <f>IF($C216="","",IFERROR(VLOOKUP($G216,Tipos!$A$5:$B$51,2,FALSE),"—"))</f>
        <v/>
      </c>
      <c r="J216" s="15">
        <f>IF(COUNTA($A216:$C216)=0,"",IF($A216="","Falta a Área",IF($B216="","Falta o Setor",IF($C216="","Falta o nome",IF(COUNTIF($C$6:$C$403,$C216)&gt;1,"Nome repetido: use 01, 02… ou a Qtd",IF(LEFT($G216,7)="Confira","Confira o tipo na importação","OK"))))))</f>
        <v/>
      </c>
    </row>
    <row r="217">
      <c r="A217" s="16" t="n"/>
      <c r="B217" s="16" t="n"/>
      <c r="C217" s="16" t="n"/>
      <c r="D217" s="16" t="n"/>
      <c r="E217" s="17" t="n"/>
      <c r="F217" s="16" t="n"/>
      <c r="G217" s="15">
        <f>IF($C217="","",IFERROR(LOOKUP(2,1/((Reconhecimento!$A$5:$A$310&lt;&gt;"")*ISNUMBER(SEARCH(" "&amp;Reconhecimento!$A$5:$A$310," "&amp;$C217))),Reconhecimento!$B$5:$B$310),"Confira: escolha na importação"))</f>
        <v/>
      </c>
      <c r="H217" s="15">
        <f>IF($C217="","",IFERROR(LOOKUP(2,1/((Reconhecimento!$A$5:$A$310&lt;&gt;"")*ISNUMBER(SEARCH(" "&amp;Reconhecimento!$A$5:$A$310," "&amp;$C217))),Reconhecimento!$C$5:$C$310),"—"))</f>
        <v/>
      </c>
      <c r="I217" s="15">
        <f>IF($C217="","",IFERROR(VLOOKUP($G217,Tipos!$A$5:$B$51,2,FALSE),"—"))</f>
        <v/>
      </c>
      <c r="J217" s="15">
        <f>IF(COUNTA($A217:$C217)=0,"",IF($A217="","Falta a Área",IF($B217="","Falta o Setor",IF($C217="","Falta o nome",IF(COUNTIF($C$6:$C$403,$C217)&gt;1,"Nome repetido: use 01, 02… ou a Qtd",IF(LEFT($G217,7)="Confira","Confira o tipo na importação","OK"))))))</f>
        <v/>
      </c>
    </row>
    <row r="218">
      <c r="A218" s="16" t="n"/>
      <c r="B218" s="16" t="n"/>
      <c r="C218" s="16" t="n"/>
      <c r="D218" s="16" t="n"/>
      <c r="E218" s="17" t="n"/>
      <c r="F218" s="16" t="n"/>
      <c r="G218" s="15">
        <f>IF($C218="","",IFERROR(LOOKUP(2,1/((Reconhecimento!$A$5:$A$310&lt;&gt;"")*ISNUMBER(SEARCH(" "&amp;Reconhecimento!$A$5:$A$310," "&amp;$C218))),Reconhecimento!$B$5:$B$310),"Confira: escolha na importação"))</f>
        <v/>
      </c>
      <c r="H218" s="15">
        <f>IF($C218="","",IFERROR(LOOKUP(2,1/((Reconhecimento!$A$5:$A$310&lt;&gt;"")*ISNUMBER(SEARCH(" "&amp;Reconhecimento!$A$5:$A$310," "&amp;$C218))),Reconhecimento!$C$5:$C$310),"—"))</f>
        <v/>
      </c>
      <c r="I218" s="15">
        <f>IF($C218="","",IFERROR(VLOOKUP($G218,Tipos!$A$5:$B$51,2,FALSE),"—"))</f>
        <v/>
      </c>
      <c r="J218" s="15">
        <f>IF(COUNTA($A218:$C218)=0,"",IF($A218="","Falta a Área",IF($B218="","Falta o Setor",IF($C218="","Falta o nome",IF(COUNTIF($C$6:$C$403,$C218)&gt;1,"Nome repetido: use 01, 02… ou a Qtd",IF(LEFT($G218,7)="Confira","Confira o tipo na importação","OK"))))))</f>
        <v/>
      </c>
    </row>
    <row r="219">
      <c r="A219" s="16" t="n"/>
      <c r="B219" s="16" t="n"/>
      <c r="C219" s="16" t="n"/>
      <c r="D219" s="16" t="n"/>
      <c r="E219" s="17" t="n"/>
      <c r="F219" s="16" t="n"/>
      <c r="G219" s="15">
        <f>IF($C219="","",IFERROR(LOOKUP(2,1/((Reconhecimento!$A$5:$A$310&lt;&gt;"")*ISNUMBER(SEARCH(" "&amp;Reconhecimento!$A$5:$A$310," "&amp;$C219))),Reconhecimento!$B$5:$B$310),"Confira: escolha na importação"))</f>
        <v/>
      </c>
      <c r="H219" s="15">
        <f>IF($C219="","",IFERROR(LOOKUP(2,1/((Reconhecimento!$A$5:$A$310&lt;&gt;"")*ISNUMBER(SEARCH(" "&amp;Reconhecimento!$A$5:$A$310," "&amp;$C219))),Reconhecimento!$C$5:$C$310),"—"))</f>
        <v/>
      </c>
      <c r="I219" s="15">
        <f>IF($C219="","",IFERROR(VLOOKUP($G219,Tipos!$A$5:$B$51,2,FALSE),"—"))</f>
        <v/>
      </c>
      <c r="J219" s="15">
        <f>IF(COUNTA($A219:$C219)=0,"",IF($A219="","Falta a Área",IF($B219="","Falta o Setor",IF($C219="","Falta o nome",IF(COUNTIF($C$6:$C$403,$C219)&gt;1,"Nome repetido: use 01, 02… ou a Qtd",IF(LEFT($G219,7)="Confira","Confira o tipo na importação","OK"))))))</f>
        <v/>
      </c>
    </row>
    <row r="220">
      <c r="A220" s="16" t="n"/>
      <c r="B220" s="16" t="n"/>
      <c r="C220" s="16" t="n"/>
      <c r="D220" s="16" t="n"/>
      <c r="E220" s="17" t="n"/>
      <c r="F220" s="16" t="n"/>
      <c r="G220" s="15">
        <f>IF($C220="","",IFERROR(LOOKUP(2,1/((Reconhecimento!$A$5:$A$310&lt;&gt;"")*ISNUMBER(SEARCH(" "&amp;Reconhecimento!$A$5:$A$310," "&amp;$C220))),Reconhecimento!$B$5:$B$310),"Confira: escolha na importação"))</f>
        <v/>
      </c>
      <c r="H220" s="15">
        <f>IF($C220="","",IFERROR(LOOKUP(2,1/((Reconhecimento!$A$5:$A$310&lt;&gt;"")*ISNUMBER(SEARCH(" "&amp;Reconhecimento!$A$5:$A$310," "&amp;$C220))),Reconhecimento!$C$5:$C$310),"—"))</f>
        <v/>
      </c>
      <c r="I220" s="15">
        <f>IF($C220="","",IFERROR(VLOOKUP($G220,Tipos!$A$5:$B$51,2,FALSE),"—"))</f>
        <v/>
      </c>
      <c r="J220" s="15">
        <f>IF(COUNTA($A220:$C220)=0,"",IF($A220="","Falta a Área",IF($B220="","Falta o Setor",IF($C220="","Falta o nome",IF(COUNTIF($C$6:$C$403,$C220)&gt;1,"Nome repetido: use 01, 02… ou a Qtd",IF(LEFT($G220,7)="Confira","Confira o tipo na importação","OK"))))))</f>
        <v/>
      </c>
    </row>
    <row r="221">
      <c r="A221" s="16" t="n"/>
      <c r="B221" s="16" t="n"/>
      <c r="C221" s="16" t="n"/>
      <c r="D221" s="16" t="n"/>
      <c r="E221" s="17" t="n"/>
      <c r="F221" s="16" t="n"/>
      <c r="G221" s="15">
        <f>IF($C221="","",IFERROR(LOOKUP(2,1/((Reconhecimento!$A$5:$A$310&lt;&gt;"")*ISNUMBER(SEARCH(" "&amp;Reconhecimento!$A$5:$A$310," "&amp;$C221))),Reconhecimento!$B$5:$B$310),"Confira: escolha na importação"))</f>
        <v/>
      </c>
      <c r="H221" s="15">
        <f>IF($C221="","",IFERROR(LOOKUP(2,1/((Reconhecimento!$A$5:$A$310&lt;&gt;"")*ISNUMBER(SEARCH(" "&amp;Reconhecimento!$A$5:$A$310," "&amp;$C221))),Reconhecimento!$C$5:$C$310),"—"))</f>
        <v/>
      </c>
      <c r="I221" s="15">
        <f>IF($C221="","",IFERROR(VLOOKUP($G221,Tipos!$A$5:$B$51,2,FALSE),"—"))</f>
        <v/>
      </c>
      <c r="J221" s="15">
        <f>IF(COUNTA($A221:$C221)=0,"",IF($A221="","Falta a Área",IF($B221="","Falta o Setor",IF($C221="","Falta o nome",IF(COUNTIF($C$6:$C$403,$C221)&gt;1,"Nome repetido: use 01, 02… ou a Qtd",IF(LEFT($G221,7)="Confira","Confira o tipo na importação","OK"))))))</f>
        <v/>
      </c>
    </row>
    <row r="222">
      <c r="A222" s="16" t="n"/>
      <c r="B222" s="16" t="n"/>
      <c r="C222" s="16" t="n"/>
      <c r="D222" s="16" t="n"/>
      <c r="E222" s="17" t="n"/>
      <c r="F222" s="16" t="n"/>
      <c r="G222" s="15">
        <f>IF($C222="","",IFERROR(LOOKUP(2,1/((Reconhecimento!$A$5:$A$310&lt;&gt;"")*ISNUMBER(SEARCH(" "&amp;Reconhecimento!$A$5:$A$310," "&amp;$C222))),Reconhecimento!$B$5:$B$310),"Confira: escolha na importação"))</f>
        <v/>
      </c>
      <c r="H222" s="15">
        <f>IF($C222="","",IFERROR(LOOKUP(2,1/((Reconhecimento!$A$5:$A$310&lt;&gt;"")*ISNUMBER(SEARCH(" "&amp;Reconhecimento!$A$5:$A$310," "&amp;$C222))),Reconhecimento!$C$5:$C$310),"—"))</f>
        <v/>
      </c>
      <c r="I222" s="15">
        <f>IF($C222="","",IFERROR(VLOOKUP($G222,Tipos!$A$5:$B$51,2,FALSE),"—"))</f>
        <v/>
      </c>
      <c r="J222" s="15">
        <f>IF(COUNTA($A222:$C222)=0,"",IF($A222="","Falta a Área",IF($B222="","Falta o Setor",IF($C222="","Falta o nome",IF(COUNTIF($C$6:$C$403,$C222)&gt;1,"Nome repetido: use 01, 02… ou a Qtd",IF(LEFT($G222,7)="Confira","Confira o tipo na importação","OK"))))))</f>
        <v/>
      </c>
    </row>
    <row r="223">
      <c r="A223" s="16" t="n"/>
      <c r="B223" s="16" t="n"/>
      <c r="C223" s="16" t="n"/>
      <c r="D223" s="16" t="n"/>
      <c r="E223" s="17" t="n"/>
      <c r="F223" s="16" t="n"/>
      <c r="G223" s="15">
        <f>IF($C223="","",IFERROR(LOOKUP(2,1/((Reconhecimento!$A$5:$A$310&lt;&gt;"")*ISNUMBER(SEARCH(" "&amp;Reconhecimento!$A$5:$A$310," "&amp;$C223))),Reconhecimento!$B$5:$B$310),"Confira: escolha na importação"))</f>
        <v/>
      </c>
      <c r="H223" s="15">
        <f>IF($C223="","",IFERROR(LOOKUP(2,1/((Reconhecimento!$A$5:$A$310&lt;&gt;"")*ISNUMBER(SEARCH(" "&amp;Reconhecimento!$A$5:$A$310," "&amp;$C223))),Reconhecimento!$C$5:$C$310),"—"))</f>
        <v/>
      </c>
      <c r="I223" s="15">
        <f>IF($C223="","",IFERROR(VLOOKUP($G223,Tipos!$A$5:$B$51,2,FALSE),"—"))</f>
        <v/>
      </c>
      <c r="J223" s="15">
        <f>IF(COUNTA($A223:$C223)=0,"",IF($A223="","Falta a Área",IF($B223="","Falta o Setor",IF($C223="","Falta o nome",IF(COUNTIF($C$6:$C$403,$C223)&gt;1,"Nome repetido: use 01, 02… ou a Qtd",IF(LEFT($G223,7)="Confira","Confira o tipo na importação","OK"))))))</f>
        <v/>
      </c>
    </row>
    <row r="224">
      <c r="A224" s="16" t="n"/>
      <c r="B224" s="16" t="n"/>
      <c r="C224" s="16" t="n"/>
      <c r="D224" s="16" t="n"/>
      <c r="E224" s="17" t="n"/>
      <c r="F224" s="16" t="n"/>
      <c r="G224" s="15">
        <f>IF($C224="","",IFERROR(LOOKUP(2,1/((Reconhecimento!$A$5:$A$310&lt;&gt;"")*ISNUMBER(SEARCH(" "&amp;Reconhecimento!$A$5:$A$310," "&amp;$C224))),Reconhecimento!$B$5:$B$310),"Confira: escolha na importação"))</f>
        <v/>
      </c>
      <c r="H224" s="15">
        <f>IF($C224="","",IFERROR(LOOKUP(2,1/((Reconhecimento!$A$5:$A$310&lt;&gt;"")*ISNUMBER(SEARCH(" "&amp;Reconhecimento!$A$5:$A$310," "&amp;$C224))),Reconhecimento!$C$5:$C$310),"—"))</f>
        <v/>
      </c>
      <c r="I224" s="15">
        <f>IF($C224="","",IFERROR(VLOOKUP($G224,Tipos!$A$5:$B$51,2,FALSE),"—"))</f>
        <v/>
      </c>
      <c r="J224" s="15">
        <f>IF(COUNTA($A224:$C224)=0,"",IF($A224="","Falta a Área",IF($B224="","Falta o Setor",IF($C224="","Falta o nome",IF(COUNTIF($C$6:$C$403,$C224)&gt;1,"Nome repetido: use 01, 02… ou a Qtd",IF(LEFT($G224,7)="Confira","Confira o tipo na importação","OK"))))))</f>
        <v/>
      </c>
    </row>
    <row r="225">
      <c r="A225" s="16" t="n"/>
      <c r="B225" s="16" t="n"/>
      <c r="C225" s="16" t="n"/>
      <c r="D225" s="16" t="n"/>
      <c r="E225" s="17" t="n"/>
      <c r="F225" s="16" t="n"/>
      <c r="G225" s="15">
        <f>IF($C225="","",IFERROR(LOOKUP(2,1/((Reconhecimento!$A$5:$A$310&lt;&gt;"")*ISNUMBER(SEARCH(" "&amp;Reconhecimento!$A$5:$A$310," "&amp;$C225))),Reconhecimento!$B$5:$B$310),"Confira: escolha na importação"))</f>
        <v/>
      </c>
      <c r="H225" s="15">
        <f>IF($C225="","",IFERROR(LOOKUP(2,1/((Reconhecimento!$A$5:$A$310&lt;&gt;"")*ISNUMBER(SEARCH(" "&amp;Reconhecimento!$A$5:$A$310," "&amp;$C225))),Reconhecimento!$C$5:$C$310),"—"))</f>
        <v/>
      </c>
      <c r="I225" s="15">
        <f>IF($C225="","",IFERROR(VLOOKUP($G225,Tipos!$A$5:$B$51,2,FALSE),"—"))</f>
        <v/>
      </c>
      <c r="J225" s="15">
        <f>IF(COUNTA($A225:$C225)=0,"",IF($A225="","Falta a Área",IF($B225="","Falta o Setor",IF($C225="","Falta o nome",IF(COUNTIF($C$6:$C$403,$C225)&gt;1,"Nome repetido: use 01, 02… ou a Qtd",IF(LEFT($G225,7)="Confira","Confira o tipo na importação","OK"))))))</f>
        <v/>
      </c>
    </row>
    <row r="226">
      <c r="A226" s="16" t="n"/>
      <c r="B226" s="16" t="n"/>
      <c r="C226" s="16" t="n"/>
      <c r="D226" s="16" t="n"/>
      <c r="E226" s="17" t="n"/>
      <c r="F226" s="16" t="n"/>
      <c r="G226" s="15">
        <f>IF($C226="","",IFERROR(LOOKUP(2,1/((Reconhecimento!$A$5:$A$310&lt;&gt;"")*ISNUMBER(SEARCH(" "&amp;Reconhecimento!$A$5:$A$310," "&amp;$C226))),Reconhecimento!$B$5:$B$310),"Confira: escolha na importação"))</f>
        <v/>
      </c>
      <c r="H226" s="15">
        <f>IF($C226="","",IFERROR(LOOKUP(2,1/((Reconhecimento!$A$5:$A$310&lt;&gt;"")*ISNUMBER(SEARCH(" "&amp;Reconhecimento!$A$5:$A$310," "&amp;$C226))),Reconhecimento!$C$5:$C$310),"—"))</f>
        <v/>
      </c>
      <c r="I226" s="15">
        <f>IF($C226="","",IFERROR(VLOOKUP($G226,Tipos!$A$5:$B$51,2,FALSE),"—"))</f>
        <v/>
      </c>
      <c r="J226" s="15">
        <f>IF(COUNTA($A226:$C226)=0,"",IF($A226="","Falta a Área",IF($B226="","Falta o Setor",IF($C226="","Falta o nome",IF(COUNTIF($C$6:$C$403,$C226)&gt;1,"Nome repetido: use 01, 02… ou a Qtd",IF(LEFT($G226,7)="Confira","Confira o tipo na importação","OK"))))))</f>
        <v/>
      </c>
    </row>
    <row r="227">
      <c r="A227" s="16" t="n"/>
      <c r="B227" s="16" t="n"/>
      <c r="C227" s="16" t="n"/>
      <c r="D227" s="16" t="n"/>
      <c r="E227" s="17" t="n"/>
      <c r="F227" s="16" t="n"/>
      <c r="G227" s="15">
        <f>IF($C227="","",IFERROR(LOOKUP(2,1/((Reconhecimento!$A$5:$A$310&lt;&gt;"")*ISNUMBER(SEARCH(" "&amp;Reconhecimento!$A$5:$A$310," "&amp;$C227))),Reconhecimento!$B$5:$B$310),"Confira: escolha na importação"))</f>
        <v/>
      </c>
      <c r="H227" s="15">
        <f>IF($C227="","",IFERROR(LOOKUP(2,1/((Reconhecimento!$A$5:$A$310&lt;&gt;"")*ISNUMBER(SEARCH(" "&amp;Reconhecimento!$A$5:$A$310," "&amp;$C227))),Reconhecimento!$C$5:$C$310),"—"))</f>
        <v/>
      </c>
      <c r="I227" s="15">
        <f>IF($C227="","",IFERROR(VLOOKUP($G227,Tipos!$A$5:$B$51,2,FALSE),"—"))</f>
        <v/>
      </c>
      <c r="J227" s="15">
        <f>IF(COUNTA($A227:$C227)=0,"",IF($A227="","Falta a Área",IF($B227="","Falta o Setor",IF($C227="","Falta o nome",IF(COUNTIF($C$6:$C$403,$C227)&gt;1,"Nome repetido: use 01, 02… ou a Qtd",IF(LEFT($G227,7)="Confira","Confira o tipo na importação","OK"))))))</f>
        <v/>
      </c>
    </row>
    <row r="228">
      <c r="A228" s="16" t="n"/>
      <c r="B228" s="16" t="n"/>
      <c r="C228" s="16" t="n"/>
      <c r="D228" s="16" t="n"/>
      <c r="E228" s="17" t="n"/>
      <c r="F228" s="16" t="n"/>
      <c r="G228" s="15">
        <f>IF($C228="","",IFERROR(LOOKUP(2,1/((Reconhecimento!$A$5:$A$310&lt;&gt;"")*ISNUMBER(SEARCH(" "&amp;Reconhecimento!$A$5:$A$310," "&amp;$C228))),Reconhecimento!$B$5:$B$310),"Confira: escolha na importação"))</f>
        <v/>
      </c>
      <c r="H228" s="15">
        <f>IF($C228="","",IFERROR(LOOKUP(2,1/((Reconhecimento!$A$5:$A$310&lt;&gt;"")*ISNUMBER(SEARCH(" "&amp;Reconhecimento!$A$5:$A$310," "&amp;$C228))),Reconhecimento!$C$5:$C$310),"—"))</f>
        <v/>
      </c>
      <c r="I228" s="15">
        <f>IF($C228="","",IFERROR(VLOOKUP($G228,Tipos!$A$5:$B$51,2,FALSE),"—"))</f>
        <v/>
      </c>
      <c r="J228" s="15">
        <f>IF(COUNTA($A228:$C228)=0,"",IF($A228="","Falta a Área",IF($B228="","Falta o Setor",IF($C228="","Falta o nome",IF(COUNTIF($C$6:$C$403,$C228)&gt;1,"Nome repetido: use 01, 02… ou a Qtd",IF(LEFT($G228,7)="Confira","Confira o tipo na importação","OK"))))))</f>
        <v/>
      </c>
    </row>
    <row r="229">
      <c r="A229" s="16" t="n"/>
      <c r="B229" s="16" t="n"/>
      <c r="C229" s="16" t="n"/>
      <c r="D229" s="16" t="n"/>
      <c r="E229" s="17" t="n"/>
      <c r="F229" s="16" t="n"/>
      <c r="G229" s="15">
        <f>IF($C229="","",IFERROR(LOOKUP(2,1/((Reconhecimento!$A$5:$A$310&lt;&gt;"")*ISNUMBER(SEARCH(" "&amp;Reconhecimento!$A$5:$A$310," "&amp;$C229))),Reconhecimento!$B$5:$B$310),"Confira: escolha na importação"))</f>
        <v/>
      </c>
      <c r="H229" s="15">
        <f>IF($C229="","",IFERROR(LOOKUP(2,1/((Reconhecimento!$A$5:$A$310&lt;&gt;"")*ISNUMBER(SEARCH(" "&amp;Reconhecimento!$A$5:$A$310," "&amp;$C229))),Reconhecimento!$C$5:$C$310),"—"))</f>
        <v/>
      </c>
      <c r="I229" s="15">
        <f>IF($C229="","",IFERROR(VLOOKUP($G229,Tipos!$A$5:$B$51,2,FALSE),"—"))</f>
        <v/>
      </c>
      <c r="J229" s="15">
        <f>IF(COUNTA($A229:$C229)=0,"",IF($A229="","Falta a Área",IF($B229="","Falta o Setor",IF($C229="","Falta o nome",IF(COUNTIF($C$6:$C$403,$C229)&gt;1,"Nome repetido: use 01, 02… ou a Qtd",IF(LEFT($G229,7)="Confira","Confira o tipo na importação","OK"))))))</f>
        <v/>
      </c>
    </row>
    <row r="230">
      <c r="A230" s="16" t="n"/>
      <c r="B230" s="16" t="n"/>
      <c r="C230" s="16" t="n"/>
      <c r="D230" s="16" t="n"/>
      <c r="E230" s="17" t="n"/>
      <c r="F230" s="16" t="n"/>
      <c r="G230" s="15">
        <f>IF($C230="","",IFERROR(LOOKUP(2,1/((Reconhecimento!$A$5:$A$310&lt;&gt;"")*ISNUMBER(SEARCH(" "&amp;Reconhecimento!$A$5:$A$310," "&amp;$C230))),Reconhecimento!$B$5:$B$310),"Confira: escolha na importação"))</f>
        <v/>
      </c>
      <c r="H230" s="15">
        <f>IF($C230="","",IFERROR(LOOKUP(2,1/((Reconhecimento!$A$5:$A$310&lt;&gt;"")*ISNUMBER(SEARCH(" "&amp;Reconhecimento!$A$5:$A$310," "&amp;$C230))),Reconhecimento!$C$5:$C$310),"—"))</f>
        <v/>
      </c>
      <c r="I230" s="15">
        <f>IF($C230="","",IFERROR(VLOOKUP($G230,Tipos!$A$5:$B$51,2,FALSE),"—"))</f>
        <v/>
      </c>
      <c r="J230" s="15">
        <f>IF(COUNTA($A230:$C230)=0,"",IF($A230="","Falta a Área",IF($B230="","Falta o Setor",IF($C230="","Falta o nome",IF(COUNTIF($C$6:$C$403,$C230)&gt;1,"Nome repetido: use 01, 02… ou a Qtd",IF(LEFT($G230,7)="Confira","Confira o tipo na importação","OK"))))))</f>
        <v/>
      </c>
    </row>
    <row r="231">
      <c r="A231" s="16" t="n"/>
      <c r="B231" s="16" t="n"/>
      <c r="C231" s="16" t="n"/>
      <c r="D231" s="16" t="n"/>
      <c r="E231" s="17" t="n"/>
      <c r="F231" s="16" t="n"/>
      <c r="G231" s="15">
        <f>IF($C231="","",IFERROR(LOOKUP(2,1/((Reconhecimento!$A$5:$A$310&lt;&gt;"")*ISNUMBER(SEARCH(" "&amp;Reconhecimento!$A$5:$A$310," "&amp;$C231))),Reconhecimento!$B$5:$B$310),"Confira: escolha na importação"))</f>
        <v/>
      </c>
      <c r="H231" s="15">
        <f>IF($C231="","",IFERROR(LOOKUP(2,1/((Reconhecimento!$A$5:$A$310&lt;&gt;"")*ISNUMBER(SEARCH(" "&amp;Reconhecimento!$A$5:$A$310," "&amp;$C231))),Reconhecimento!$C$5:$C$310),"—"))</f>
        <v/>
      </c>
      <c r="I231" s="15">
        <f>IF($C231="","",IFERROR(VLOOKUP($G231,Tipos!$A$5:$B$51,2,FALSE),"—"))</f>
        <v/>
      </c>
      <c r="J231" s="15">
        <f>IF(COUNTA($A231:$C231)=0,"",IF($A231="","Falta a Área",IF($B231="","Falta o Setor",IF($C231="","Falta o nome",IF(COUNTIF($C$6:$C$403,$C231)&gt;1,"Nome repetido: use 01, 02… ou a Qtd",IF(LEFT($G231,7)="Confira","Confira o tipo na importação","OK"))))))</f>
        <v/>
      </c>
    </row>
    <row r="232">
      <c r="A232" s="16" t="n"/>
      <c r="B232" s="16" t="n"/>
      <c r="C232" s="16" t="n"/>
      <c r="D232" s="16" t="n"/>
      <c r="E232" s="17" t="n"/>
      <c r="F232" s="16" t="n"/>
      <c r="G232" s="15">
        <f>IF($C232="","",IFERROR(LOOKUP(2,1/((Reconhecimento!$A$5:$A$310&lt;&gt;"")*ISNUMBER(SEARCH(" "&amp;Reconhecimento!$A$5:$A$310," "&amp;$C232))),Reconhecimento!$B$5:$B$310),"Confira: escolha na importação"))</f>
        <v/>
      </c>
      <c r="H232" s="15">
        <f>IF($C232="","",IFERROR(LOOKUP(2,1/((Reconhecimento!$A$5:$A$310&lt;&gt;"")*ISNUMBER(SEARCH(" "&amp;Reconhecimento!$A$5:$A$310," "&amp;$C232))),Reconhecimento!$C$5:$C$310),"—"))</f>
        <v/>
      </c>
      <c r="I232" s="15">
        <f>IF($C232="","",IFERROR(VLOOKUP($G232,Tipos!$A$5:$B$51,2,FALSE),"—"))</f>
        <v/>
      </c>
      <c r="J232" s="15">
        <f>IF(COUNTA($A232:$C232)=0,"",IF($A232="","Falta a Área",IF($B232="","Falta o Setor",IF($C232="","Falta o nome",IF(COUNTIF($C$6:$C$403,$C232)&gt;1,"Nome repetido: use 01, 02… ou a Qtd",IF(LEFT($G232,7)="Confira","Confira o tipo na importação","OK"))))))</f>
        <v/>
      </c>
    </row>
    <row r="233">
      <c r="A233" s="16" t="n"/>
      <c r="B233" s="16" t="n"/>
      <c r="C233" s="16" t="n"/>
      <c r="D233" s="16" t="n"/>
      <c r="E233" s="17" t="n"/>
      <c r="F233" s="16" t="n"/>
      <c r="G233" s="15">
        <f>IF($C233="","",IFERROR(LOOKUP(2,1/((Reconhecimento!$A$5:$A$310&lt;&gt;"")*ISNUMBER(SEARCH(" "&amp;Reconhecimento!$A$5:$A$310," "&amp;$C233))),Reconhecimento!$B$5:$B$310),"Confira: escolha na importação"))</f>
        <v/>
      </c>
      <c r="H233" s="15">
        <f>IF($C233="","",IFERROR(LOOKUP(2,1/((Reconhecimento!$A$5:$A$310&lt;&gt;"")*ISNUMBER(SEARCH(" "&amp;Reconhecimento!$A$5:$A$310," "&amp;$C233))),Reconhecimento!$C$5:$C$310),"—"))</f>
        <v/>
      </c>
      <c r="I233" s="15">
        <f>IF($C233="","",IFERROR(VLOOKUP($G233,Tipos!$A$5:$B$51,2,FALSE),"—"))</f>
        <v/>
      </c>
      <c r="J233" s="15">
        <f>IF(COUNTA($A233:$C233)=0,"",IF($A233="","Falta a Área",IF($B233="","Falta o Setor",IF($C233="","Falta o nome",IF(COUNTIF($C$6:$C$403,$C233)&gt;1,"Nome repetido: use 01, 02… ou a Qtd",IF(LEFT($G233,7)="Confira","Confira o tipo na importação","OK"))))))</f>
        <v/>
      </c>
    </row>
    <row r="234">
      <c r="A234" s="16" t="n"/>
      <c r="B234" s="16" t="n"/>
      <c r="C234" s="16" t="n"/>
      <c r="D234" s="16" t="n"/>
      <c r="E234" s="17" t="n"/>
      <c r="F234" s="16" t="n"/>
      <c r="G234" s="15">
        <f>IF($C234="","",IFERROR(LOOKUP(2,1/((Reconhecimento!$A$5:$A$310&lt;&gt;"")*ISNUMBER(SEARCH(" "&amp;Reconhecimento!$A$5:$A$310," "&amp;$C234))),Reconhecimento!$B$5:$B$310),"Confira: escolha na importação"))</f>
        <v/>
      </c>
      <c r="H234" s="15">
        <f>IF($C234="","",IFERROR(LOOKUP(2,1/((Reconhecimento!$A$5:$A$310&lt;&gt;"")*ISNUMBER(SEARCH(" "&amp;Reconhecimento!$A$5:$A$310," "&amp;$C234))),Reconhecimento!$C$5:$C$310),"—"))</f>
        <v/>
      </c>
      <c r="I234" s="15">
        <f>IF($C234="","",IFERROR(VLOOKUP($G234,Tipos!$A$5:$B$51,2,FALSE),"—"))</f>
        <v/>
      </c>
      <c r="J234" s="15">
        <f>IF(COUNTA($A234:$C234)=0,"",IF($A234="","Falta a Área",IF($B234="","Falta o Setor",IF($C234="","Falta o nome",IF(COUNTIF($C$6:$C$403,$C234)&gt;1,"Nome repetido: use 01, 02… ou a Qtd",IF(LEFT($G234,7)="Confira","Confira o tipo na importação","OK"))))))</f>
        <v/>
      </c>
    </row>
    <row r="235">
      <c r="A235" s="16" t="n"/>
      <c r="B235" s="16" t="n"/>
      <c r="C235" s="16" t="n"/>
      <c r="D235" s="16" t="n"/>
      <c r="E235" s="17" t="n"/>
      <c r="F235" s="16" t="n"/>
      <c r="G235" s="15">
        <f>IF($C235="","",IFERROR(LOOKUP(2,1/((Reconhecimento!$A$5:$A$310&lt;&gt;"")*ISNUMBER(SEARCH(" "&amp;Reconhecimento!$A$5:$A$310," "&amp;$C235))),Reconhecimento!$B$5:$B$310),"Confira: escolha na importação"))</f>
        <v/>
      </c>
      <c r="H235" s="15">
        <f>IF($C235="","",IFERROR(LOOKUP(2,1/((Reconhecimento!$A$5:$A$310&lt;&gt;"")*ISNUMBER(SEARCH(" "&amp;Reconhecimento!$A$5:$A$310," "&amp;$C235))),Reconhecimento!$C$5:$C$310),"—"))</f>
        <v/>
      </c>
      <c r="I235" s="15">
        <f>IF($C235="","",IFERROR(VLOOKUP($G235,Tipos!$A$5:$B$51,2,FALSE),"—"))</f>
        <v/>
      </c>
      <c r="J235" s="15">
        <f>IF(COUNTA($A235:$C235)=0,"",IF($A235="","Falta a Área",IF($B235="","Falta o Setor",IF($C235="","Falta o nome",IF(COUNTIF($C$6:$C$403,$C235)&gt;1,"Nome repetido: use 01, 02… ou a Qtd",IF(LEFT($G235,7)="Confira","Confira o tipo na importação","OK"))))))</f>
        <v/>
      </c>
    </row>
    <row r="236">
      <c r="A236" s="16" t="n"/>
      <c r="B236" s="16" t="n"/>
      <c r="C236" s="16" t="n"/>
      <c r="D236" s="16" t="n"/>
      <c r="E236" s="17" t="n"/>
      <c r="F236" s="16" t="n"/>
      <c r="G236" s="15">
        <f>IF($C236="","",IFERROR(LOOKUP(2,1/((Reconhecimento!$A$5:$A$310&lt;&gt;"")*ISNUMBER(SEARCH(" "&amp;Reconhecimento!$A$5:$A$310," "&amp;$C236))),Reconhecimento!$B$5:$B$310),"Confira: escolha na importação"))</f>
        <v/>
      </c>
      <c r="H236" s="15">
        <f>IF($C236="","",IFERROR(LOOKUP(2,1/((Reconhecimento!$A$5:$A$310&lt;&gt;"")*ISNUMBER(SEARCH(" "&amp;Reconhecimento!$A$5:$A$310," "&amp;$C236))),Reconhecimento!$C$5:$C$310),"—"))</f>
        <v/>
      </c>
      <c r="I236" s="15">
        <f>IF($C236="","",IFERROR(VLOOKUP($G236,Tipos!$A$5:$B$51,2,FALSE),"—"))</f>
        <v/>
      </c>
      <c r="J236" s="15">
        <f>IF(COUNTA($A236:$C236)=0,"",IF($A236="","Falta a Área",IF($B236="","Falta o Setor",IF($C236="","Falta o nome",IF(COUNTIF($C$6:$C$403,$C236)&gt;1,"Nome repetido: use 01, 02… ou a Qtd",IF(LEFT($G236,7)="Confira","Confira o tipo na importação","OK"))))))</f>
        <v/>
      </c>
    </row>
    <row r="237">
      <c r="A237" s="16" t="n"/>
      <c r="B237" s="16" t="n"/>
      <c r="C237" s="16" t="n"/>
      <c r="D237" s="16" t="n"/>
      <c r="E237" s="17" t="n"/>
      <c r="F237" s="16" t="n"/>
      <c r="G237" s="15">
        <f>IF($C237="","",IFERROR(LOOKUP(2,1/((Reconhecimento!$A$5:$A$310&lt;&gt;"")*ISNUMBER(SEARCH(" "&amp;Reconhecimento!$A$5:$A$310," "&amp;$C237))),Reconhecimento!$B$5:$B$310),"Confira: escolha na importação"))</f>
        <v/>
      </c>
      <c r="H237" s="15">
        <f>IF($C237="","",IFERROR(LOOKUP(2,1/((Reconhecimento!$A$5:$A$310&lt;&gt;"")*ISNUMBER(SEARCH(" "&amp;Reconhecimento!$A$5:$A$310," "&amp;$C237))),Reconhecimento!$C$5:$C$310),"—"))</f>
        <v/>
      </c>
      <c r="I237" s="15">
        <f>IF($C237="","",IFERROR(VLOOKUP($G237,Tipos!$A$5:$B$51,2,FALSE),"—"))</f>
        <v/>
      </c>
      <c r="J237" s="15">
        <f>IF(COUNTA($A237:$C237)=0,"",IF($A237="","Falta a Área",IF($B237="","Falta o Setor",IF($C237="","Falta o nome",IF(COUNTIF($C$6:$C$403,$C237)&gt;1,"Nome repetido: use 01, 02… ou a Qtd",IF(LEFT($G237,7)="Confira","Confira o tipo na importação","OK"))))))</f>
        <v/>
      </c>
    </row>
    <row r="238">
      <c r="A238" s="16" t="n"/>
      <c r="B238" s="16" t="n"/>
      <c r="C238" s="16" t="n"/>
      <c r="D238" s="16" t="n"/>
      <c r="E238" s="17" t="n"/>
      <c r="F238" s="16" t="n"/>
      <c r="G238" s="15">
        <f>IF($C238="","",IFERROR(LOOKUP(2,1/((Reconhecimento!$A$5:$A$310&lt;&gt;"")*ISNUMBER(SEARCH(" "&amp;Reconhecimento!$A$5:$A$310," "&amp;$C238))),Reconhecimento!$B$5:$B$310),"Confira: escolha na importação"))</f>
        <v/>
      </c>
      <c r="H238" s="15">
        <f>IF($C238="","",IFERROR(LOOKUP(2,1/((Reconhecimento!$A$5:$A$310&lt;&gt;"")*ISNUMBER(SEARCH(" "&amp;Reconhecimento!$A$5:$A$310," "&amp;$C238))),Reconhecimento!$C$5:$C$310),"—"))</f>
        <v/>
      </c>
      <c r="I238" s="15">
        <f>IF($C238="","",IFERROR(VLOOKUP($G238,Tipos!$A$5:$B$51,2,FALSE),"—"))</f>
        <v/>
      </c>
      <c r="J238" s="15">
        <f>IF(COUNTA($A238:$C238)=0,"",IF($A238="","Falta a Área",IF($B238="","Falta o Setor",IF($C238="","Falta o nome",IF(COUNTIF($C$6:$C$403,$C238)&gt;1,"Nome repetido: use 01, 02… ou a Qtd",IF(LEFT($G238,7)="Confira","Confira o tipo na importação","OK"))))))</f>
        <v/>
      </c>
    </row>
    <row r="239">
      <c r="A239" s="16" t="n"/>
      <c r="B239" s="16" t="n"/>
      <c r="C239" s="16" t="n"/>
      <c r="D239" s="16" t="n"/>
      <c r="E239" s="17" t="n"/>
      <c r="F239" s="16" t="n"/>
      <c r="G239" s="15">
        <f>IF($C239="","",IFERROR(LOOKUP(2,1/((Reconhecimento!$A$5:$A$310&lt;&gt;"")*ISNUMBER(SEARCH(" "&amp;Reconhecimento!$A$5:$A$310," "&amp;$C239))),Reconhecimento!$B$5:$B$310),"Confira: escolha na importação"))</f>
        <v/>
      </c>
      <c r="H239" s="15">
        <f>IF($C239="","",IFERROR(LOOKUP(2,1/((Reconhecimento!$A$5:$A$310&lt;&gt;"")*ISNUMBER(SEARCH(" "&amp;Reconhecimento!$A$5:$A$310," "&amp;$C239))),Reconhecimento!$C$5:$C$310),"—"))</f>
        <v/>
      </c>
      <c r="I239" s="15">
        <f>IF($C239="","",IFERROR(VLOOKUP($G239,Tipos!$A$5:$B$51,2,FALSE),"—"))</f>
        <v/>
      </c>
      <c r="J239" s="15">
        <f>IF(COUNTA($A239:$C239)=0,"",IF($A239="","Falta a Área",IF($B239="","Falta o Setor",IF($C239="","Falta o nome",IF(COUNTIF($C$6:$C$403,$C239)&gt;1,"Nome repetido: use 01, 02… ou a Qtd",IF(LEFT($G239,7)="Confira","Confira o tipo na importação","OK"))))))</f>
        <v/>
      </c>
    </row>
    <row r="240">
      <c r="A240" s="16" t="n"/>
      <c r="B240" s="16" t="n"/>
      <c r="C240" s="16" t="n"/>
      <c r="D240" s="16" t="n"/>
      <c r="E240" s="17" t="n"/>
      <c r="F240" s="16" t="n"/>
      <c r="G240" s="15">
        <f>IF($C240="","",IFERROR(LOOKUP(2,1/((Reconhecimento!$A$5:$A$310&lt;&gt;"")*ISNUMBER(SEARCH(" "&amp;Reconhecimento!$A$5:$A$310," "&amp;$C240))),Reconhecimento!$B$5:$B$310),"Confira: escolha na importação"))</f>
        <v/>
      </c>
      <c r="H240" s="15">
        <f>IF($C240="","",IFERROR(LOOKUP(2,1/((Reconhecimento!$A$5:$A$310&lt;&gt;"")*ISNUMBER(SEARCH(" "&amp;Reconhecimento!$A$5:$A$310," "&amp;$C240))),Reconhecimento!$C$5:$C$310),"—"))</f>
        <v/>
      </c>
      <c r="I240" s="15">
        <f>IF($C240="","",IFERROR(VLOOKUP($G240,Tipos!$A$5:$B$51,2,FALSE),"—"))</f>
        <v/>
      </c>
      <c r="J240" s="15">
        <f>IF(COUNTA($A240:$C240)=0,"",IF($A240="","Falta a Área",IF($B240="","Falta o Setor",IF($C240="","Falta o nome",IF(COUNTIF($C$6:$C$403,$C240)&gt;1,"Nome repetido: use 01, 02… ou a Qtd",IF(LEFT($G240,7)="Confira","Confira o tipo na importação","OK"))))))</f>
        <v/>
      </c>
    </row>
    <row r="241">
      <c r="A241" s="16" t="n"/>
      <c r="B241" s="16" t="n"/>
      <c r="C241" s="16" t="n"/>
      <c r="D241" s="16" t="n"/>
      <c r="E241" s="17" t="n"/>
      <c r="F241" s="16" t="n"/>
      <c r="G241" s="15">
        <f>IF($C241="","",IFERROR(LOOKUP(2,1/((Reconhecimento!$A$5:$A$310&lt;&gt;"")*ISNUMBER(SEARCH(" "&amp;Reconhecimento!$A$5:$A$310," "&amp;$C241))),Reconhecimento!$B$5:$B$310),"Confira: escolha na importação"))</f>
        <v/>
      </c>
      <c r="H241" s="15">
        <f>IF($C241="","",IFERROR(LOOKUP(2,1/((Reconhecimento!$A$5:$A$310&lt;&gt;"")*ISNUMBER(SEARCH(" "&amp;Reconhecimento!$A$5:$A$310," "&amp;$C241))),Reconhecimento!$C$5:$C$310),"—"))</f>
        <v/>
      </c>
      <c r="I241" s="15">
        <f>IF($C241="","",IFERROR(VLOOKUP($G241,Tipos!$A$5:$B$51,2,FALSE),"—"))</f>
        <v/>
      </c>
      <c r="J241" s="15">
        <f>IF(COUNTA($A241:$C241)=0,"",IF($A241="","Falta a Área",IF($B241="","Falta o Setor",IF($C241="","Falta o nome",IF(COUNTIF($C$6:$C$403,$C241)&gt;1,"Nome repetido: use 01, 02… ou a Qtd",IF(LEFT($G241,7)="Confira","Confira o tipo na importação","OK"))))))</f>
        <v/>
      </c>
    </row>
    <row r="242">
      <c r="A242" s="16" t="n"/>
      <c r="B242" s="16" t="n"/>
      <c r="C242" s="16" t="n"/>
      <c r="D242" s="16" t="n"/>
      <c r="E242" s="17" t="n"/>
      <c r="F242" s="16" t="n"/>
      <c r="G242" s="15">
        <f>IF($C242="","",IFERROR(LOOKUP(2,1/((Reconhecimento!$A$5:$A$310&lt;&gt;"")*ISNUMBER(SEARCH(" "&amp;Reconhecimento!$A$5:$A$310," "&amp;$C242))),Reconhecimento!$B$5:$B$310),"Confira: escolha na importação"))</f>
        <v/>
      </c>
      <c r="H242" s="15">
        <f>IF($C242="","",IFERROR(LOOKUP(2,1/((Reconhecimento!$A$5:$A$310&lt;&gt;"")*ISNUMBER(SEARCH(" "&amp;Reconhecimento!$A$5:$A$310," "&amp;$C242))),Reconhecimento!$C$5:$C$310),"—"))</f>
        <v/>
      </c>
      <c r="I242" s="15">
        <f>IF($C242="","",IFERROR(VLOOKUP($G242,Tipos!$A$5:$B$51,2,FALSE),"—"))</f>
        <v/>
      </c>
      <c r="J242" s="15">
        <f>IF(COUNTA($A242:$C242)=0,"",IF($A242="","Falta a Área",IF($B242="","Falta o Setor",IF($C242="","Falta o nome",IF(COUNTIF($C$6:$C$403,$C242)&gt;1,"Nome repetido: use 01, 02… ou a Qtd",IF(LEFT($G242,7)="Confira","Confira o tipo na importação","OK"))))))</f>
        <v/>
      </c>
    </row>
    <row r="243">
      <c r="A243" s="16" t="n"/>
      <c r="B243" s="16" t="n"/>
      <c r="C243" s="16" t="n"/>
      <c r="D243" s="16" t="n"/>
      <c r="E243" s="17" t="n"/>
      <c r="F243" s="16" t="n"/>
      <c r="G243" s="15">
        <f>IF($C243="","",IFERROR(LOOKUP(2,1/((Reconhecimento!$A$5:$A$310&lt;&gt;"")*ISNUMBER(SEARCH(" "&amp;Reconhecimento!$A$5:$A$310," "&amp;$C243))),Reconhecimento!$B$5:$B$310),"Confira: escolha na importação"))</f>
        <v/>
      </c>
      <c r="H243" s="15">
        <f>IF($C243="","",IFERROR(LOOKUP(2,1/((Reconhecimento!$A$5:$A$310&lt;&gt;"")*ISNUMBER(SEARCH(" "&amp;Reconhecimento!$A$5:$A$310," "&amp;$C243))),Reconhecimento!$C$5:$C$310),"—"))</f>
        <v/>
      </c>
      <c r="I243" s="15">
        <f>IF($C243="","",IFERROR(VLOOKUP($G243,Tipos!$A$5:$B$51,2,FALSE),"—"))</f>
        <v/>
      </c>
      <c r="J243" s="15">
        <f>IF(COUNTA($A243:$C243)=0,"",IF($A243="","Falta a Área",IF($B243="","Falta o Setor",IF($C243="","Falta o nome",IF(COUNTIF($C$6:$C$403,$C243)&gt;1,"Nome repetido: use 01, 02… ou a Qtd",IF(LEFT($G243,7)="Confira","Confira o tipo na importação","OK"))))))</f>
        <v/>
      </c>
    </row>
    <row r="244">
      <c r="A244" s="16" t="n"/>
      <c r="B244" s="16" t="n"/>
      <c r="C244" s="16" t="n"/>
      <c r="D244" s="16" t="n"/>
      <c r="E244" s="17" t="n"/>
      <c r="F244" s="16" t="n"/>
      <c r="G244" s="15">
        <f>IF($C244="","",IFERROR(LOOKUP(2,1/((Reconhecimento!$A$5:$A$310&lt;&gt;"")*ISNUMBER(SEARCH(" "&amp;Reconhecimento!$A$5:$A$310," "&amp;$C244))),Reconhecimento!$B$5:$B$310),"Confira: escolha na importação"))</f>
        <v/>
      </c>
      <c r="H244" s="15">
        <f>IF($C244="","",IFERROR(LOOKUP(2,1/((Reconhecimento!$A$5:$A$310&lt;&gt;"")*ISNUMBER(SEARCH(" "&amp;Reconhecimento!$A$5:$A$310," "&amp;$C244))),Reconhecimento!$C$5:$C$310),"—"))</f>
        <v/>
      </c>
      <c r="I244" s="15">
        <f>IF($C244="","",IFERROR(VLOOKUP($G244,Tipos!$A$5:$B$51,2,FALSE),"—"))</f>
        <v/>
      </c>
      <c r="J244" s="15">
        <f>IF(COUNTA($A244:$C244)=0,"",IF($A244="","Falta a Área",IF($B244="","Falta o Setor",IF($C244="","Falta o nome",IF(COUNTIF($C$6:$C$403,$C244)&gt;1,"Nome repetido: use 01, 02… ou a Qtd",IF(LEFT($G244,7)="Confira","Confira o tipo na importação","OK"))))))</f>
        <v/>
      </c>
    </row>
    <row r="245">
      <c r="A245" s="16" t="n"/>
      <c r="B245" s="16" t="n"/>
      <c r="C245" s="16" t="n"/>
      <c r="D245" s="16" t="n"/>
      <c r="E245" s="17" t="n"/>
      <c r="F245" s="16" t="n"/>
      <c r="G245" s="15">
        <f>IF($C245="","",IFERROR(LOOKUP(2,1/((Reconhecimento!$A$5:$A$310&lt;&gt;"")*ISNUMBER(SEARCH(" "&amp;Reconhecimento!$A$5:$A$310," "&amp;$C245))),Reconhecimento!$B$5:$B$310),"Confira: escolha na importação"))</f>
        <v/>
      </c>
      <c r="H245" s="15">
        <f>IF($C245="","",IFERROR(LOOKUP(2,1/((Reconhecimento!$A$5:$A$310&lt;&gt;"")*ISNUMBER(SEARCH(" "&amp;Reconhecimento!$A$5:$A$310," "&amp;$C245))),Reconhecimento!$C$5:$C$310),"—"))</f>
        <v/>
      </c>
      <c r="I245" s="15">
        <f>IF($C245="","",IFERROR(VLOOKUP($G245,Tipos!$A$5:$B$51,2,FALSE),"—"))</f>
        <v/>
      </c>
      <c r="J245" s="15">
        <f>IF(COUNTA($A245:$C245)=0,"",IF($A245="","Falta a Área",IF($B245="","Falta o Setor",IF($C245="","Falta o nome",IF(COUNTIF($C$6:$C$403,$C245)&gt;1,"Nome repetido: use 01, 02… ou a Qtd",IF(LEFT($G245,7)="Confira","Confira o tipo na importação","OK"))))))</f>
        <v/>
      </c>
    </row>
    <row r="246">
      <c r="A246" s="16" t="n"/>
      <c r="B246" s="16" t="n"/>
      <c r="C246" s="16" t="n"/>
      <c r="D246" s="16" t="n"/>
      <c r="E246" s="17" t="n"/>
      <c r="F246" s="16" t="n"/>
      <c r="G246" s="15">
        <f>IF($C246="","",IFERROR(LOOKUP(2,1/((Reconhecimento!$A$5:$A$310&lt;&gt;"")*ISNUMBER(SEARCH(" "&amp;Reconhecimento!$A$5:$A$310," "&amp;$C246))),Reconhecimento!$B$5:$B$310),"Confira: escolha na importação"))</f>
        <v/>
      </c>
      <c r="H246" s="15">
        <f>IF($C246="","",IFERROR(LOOKUP(2,1/((Reconhecimento!$A$5:$A$310&lt;&gt;"")*ISNUMBER(SEARCH(" "&amp;Reconhecimento!$A$5:$A$310," "&amp;$C246))),Reconhecimento!$C$5:$C$310),"—"))</f>
        <v/>
      </c>
      <c r="I246" s="15">
        <f>IF($C246="","",IFERROR(VLOOKUP($G246,Tipos!$A$5:$B$51,2,FALSE),"—"))</f>
        <v/>
      </c>
      <c r="J246" s="15">
        <f>IF(COUNTA($A246:$C246)=0,"",IF($A246="","Falta a Área",IF($B246="","Falta o Setor",IF($C246="","Falta o nome",IF(COUNTIF($C$6:$C$403,$C246)&gt;1,"Nome repetido: use 01, 02… ou a Qtd",IF(LEFT($G246,7)="Confira","Confira o tipo na importação","OK"))))))</f>
        <v/>
      </c>
    </row>
    <row r="247">
      <c r="A247" s="16" t="n"/>
      <c r="B247" s="16" t="n"/>
      <c r="C247" s="16" t="n"/>
      <c r="D247" s="16" t="n"/>
      <c r="E247" s="17" t="n"/>
      <c r="F247" s="16" t="n"/>
      <c r="G247" s="15">
        <f>IF($C247="","",IFERROR(LOOKUP(2,1/((Reconhecimento!$A$5:$A$310&lt;&gt;"")*ISNUMBER(SEARCH(" "&amp;Reconhecimento!$A$5:$A$310," "&amp;$C247))),Reconhecimento!$B$5:$B$310),"Confira: escolha na importação"))</f>
        <v/>
      </c>
      <c r="H247" s="15">
        <f>IF($C247="","",IFERROR(LOOKUP(2,1/((Reconhecimento!$A$5:$A$310&lt;&gt;"")*ISNUMBER(SEARCH(" "&amp;Reconhecimento!$A$5:$A$310," "&amp;$C247))),Reconhecimento!$C$5:$C$310),"—"))</f>
        <v/>
      </c>
      <c r="I247" s="15">
        <f>IF($C247="","",IFERROR(VLOOKUP($G247,Tipos!$A$5:$B$51,2,FALSE),"—"))</f>
        <v/>
      </c>
      <c r="J247" s="15">
        <f>IF(COUNTA($A247:$C247)=0,"",IF($A247="","Falta a Área",IF($B247="","Falta o Setor",IF($C247="","Falta o nome",IF(COUNTIF($C$6:$C$403,$C247)&gt;1,"Nome repetido: use 01, 02… ou a Qtd",IF(LEFT($G247,7)="Confira","Confira o tipo na importação","OK"))))))</f>
        <v/>
      </c>
    </row>
    <row r="248">
      <c r="A248" s="16" t="n"/>
      <c r="B248" s="16" t="n"/>
      <c r="C248" s="16" t="n"/>
      <c r="D248" s="16" t="n"/>
      <c r="E248" s="17" t="n"/>
      <c r="F248" s="16" t="n"/>
      <c r="G248" s="15">
        <f>IF($C248="","",IFERROR(LOOKUP(2,1/((Reconhecimento!$A$5:$A$310&lt;&gt;"")*ISNUMBER(SEARCH(" "&amp;Reconhecimento!$A$5:$A$310," "&amp;$C248))),Reconhecimento!$B$5:$B$310),"Confira: escolha na importação"))</f>
        <v/>
      </c>
      <c r="H248" s="15">
        <f>IF($C248="","",IFERROR(LOOKUP(2,1/((Reconhecimento!$A$5:$A$310&lt;&gt;"")*ISNUMBER(SEARCH(" "&amp;Reconhecimento!$A$5:$A$310," "&amp;$C248))),Reconhecimento!$C$5:$C$310),"—"))</f>
        <v/>
      </c>
      <c r="I248" s="15">
        <f>IF($C248="","",IFERROR(VLOOKUP($G248,Tipos!$A$5:$B$51,2,FALSE),"—"))</f>
        <v/>
      </c>
      <c r="J248" s="15">
        <f>IF(COUNTA($A248:$C248)=0,"",IF($A248="","Falta a Área",IF($B248="","Falta o Setor",IF($C248="","Falta o nome",IF(COUNTIF($C$6:$C$403,$C248)&gt;1,"Nome repetido: use 01, 02… ou a Qtd",IF(LEFT($G248,7)="Confira","Confira o tipo na importação","OK"))))))</f>
        <v/>
      </c>
    </row>
    <row r="249">
      <c r="A249" s="16" t="n"/>
      <c r="B249" s="16" t="n"/>
      <c r="C249" s="16" t="n"/>
      <c r="D249" s="16" t="n"/>
      <c r="E249" s="17" t="n"/>
      <c r="F249" s="16" t="n"/>
      <c r="G249" s="15">
        <f>IF($C249="","",IFERROR(LOOKUP(2,1/((Reconhecimento!$A$5:$A$310&lt;&gt;"")*ISNUMBER(SEARCH(" "&amp;Reconhecimento!$A$5:$A$310," "&amp;$C249))),Reconhecimento!$B$5:$B$310),"Confira: escolha na importação"))</f>
        <v/>
      </c>
      <c r="H249" s="15">
        <f>IF($C249="","",IFERROR(LOOKUP(2,1/((Reconhecimento!$A$5:$A$310&lt;&gt;"")*ISNUMBER(SEARCH(" "&amp;Reconhecimento!$A$5:$A$310," "&amp;$C249))),Reconhecimento!$C$5:$C$310),"—"))</f>
        <v/>
      </c>
      <c r="I249" s="15">
        <f>IF($C249="","",IFERROR(VLOOKUP($G249,Tipos!$A$5:$B$51,2,FALSE),"—"))</f>
        <v/>
      </c>
      <c r="J249" s="15">
        <f>IF(COUNTA($A249:$C249)=0,"",IF($A249="","Falta a Área",IF($B249="","Falta o Setor",IF($C249="","Falta o nome",IF(COUNTIF($C$6:$C$403,$C249)&gt;1,"Nome repetido: use 01, 02… ou a Qtd",IF(LEFT($G249,7)="Confira","Confira o tipo na importação","OK"))))))</f>
        <v/>
      </c>
    </row>
    <row r="250">
      <c r="A250" s="16" t="n"/>
      <c r="B250" s="16" t="n"/>
      <c r="C250" s="16" t="n"/>
      <c r="D250" s="16" t="n"/>
      <c r="E250" s="17" t="n"/>
      <c r="F250" s="16" t="n"/>
      <c r="G250" s="15">
        <f>IF($C250="","",IFERROR(LOOKUP(2,1/((Reconhecimento!$A$5:$A$310&lt;&gt;"")*ISNUMBER(SEARCH(" "&amp;Reconhecimento!$A$5:$A$310," "&amp;$C250))),Reconhecimento!$B$5:$B$310),"Confira: escolha na importação"))</f>
        <v/>
      </c>
      <c r="H250" s="15">
        <f>IF($C250="","",IFERROR(LOOKUP(2,1/((Reconhecimento!$A$5:$A$310&lt;&gt;"")*ISNUMBER(SEARCH(" "&amp;Reconhecimento!$A$5:$A$310," "&amp;$C250))),Reconhecimento!$C$5:$C$310),"—"))</f>
        <v/>
      </c>
      <c r="I250" s="15">
        <f>IF($C250="","",IFERROR(VLOOKUP($G250,Tipos!$A$5:$B$51,2,FALSE),"—"))</f>
        <v/>
      </c>
      <c r="J250" s="15">
        <f>IF(COUNTA($A250:$C250)=0,"",IF($A250="","Falta a Área",IF($B250="","Falta o Setor",IF($C250="","Falta o nome",IF(COUNTIF($C$6:$C$403,$C250)&gt;1,"Nome repetido: use 01, 02… ou a Qtd",IF(LEFT($G250,7)="Confira","Confira o tipo na importação","OK"))))))</f>
        <v/>
      </c>
    </row>
    <row r="251">
      <c r="A251" s="16" t="n"/>
      <c r="B251" s="16" t="n"/>
      <c r="C251" s="16" t="n"/>
      <c r="D251" s="16" t="n"/>
      <c r="E251" s="17" t="n"/>
      <c r="F251" s="16" t="n"/>
      <c r="G251" s="15">
        <f>IF($C251="","",IFERROR(LOOKUP(2,1/((Reconhecimento!$A$5:$A$310&lt;&gt;"")*ISNUMBER(SEARCH(" "&amp;Reconhecimento!$A$5:$A$310," "&amp;$C251))),Reconhecimento!$B$5:$B$310),"Confira: escolha na importação"))</f>
        <v/>
      </c>
      <c r="H251" s="15">
        <f>IF($C251="","",IFERROR(LOOKUP(2,1/((Reconhecimento!$A$5:$A$310&lt;&gt;"")*ISNUMBER(SEARCH(" "&amp;Reconhecimento!$A$5:$A$310," "&amp;$C251))),Reconhecimento!$C$5:$C$310),"—"))</f>
        <v/>
      </c>
      <c r="I251" s="15">
        <f>IF($C251="","",IFERROR(VLOOKUP($G251,Tipos!$A$5:$B$51,2,FALSE),"—"))</f>
        <v/>
      </c>
      <c r="J251" s="15">
        <f>IF(COUNTA($A251:$C251)=0,"",IF($A251="","Falta a Área",IF($B251="","Falta o Setor",IF($C251="","Falta o nome",IF(COUNTIF($C$6:$C$403,$C251)&gt;1,"Nome repetido: use 01, 02… ou a Qtd",IF(LEFT($G251,7)="Confira","Confira o tipo na importação","OK"))))))</f>
        <v/>
      </c>
    </row>
    <row r="252">
      <c r="A252" s="16" t="n"/>
      <c r="B252" s="16" t="n"/>
      <c r="C252" s="16" t="n"/>
      <c r="D252" s="16" t="n"/>
      <c r="E252" s="17" t="n"/>
      <c r="F252" s="16" t="n"/>
      <c r="G252" s="15">
        <f>IF($C252="","",IFERROR(LOOKUP(2,1/((Reconhecimento!$A$5:$A$310&lt;&gt;"")*ISNUMBER(SEARCH(" "&amp;Reconhecimento!$A$5:$A$310," "&amp;$C252))),Reconhecimento!$B$5:$B$310),"Confira: escolha na importação"))</f>
        <v/>
      </c>
      <c r="H252" s="15">
        <f>IF($C252="","",IFERROR(LOOKUP(2,1/((Reconhecimento!$A$5:$A$310&lt;&gt;"")*ISNUMBER(SEARCH(" "&amp;Reconhecimento!$A$5:$A$310," "&amp;$C252))),Reconhecimento!$C$5:$C$310),"—"))</f>
        <v/>
      </c>
      <c r="I252" s="15">
        <f>IF($C252="","",IFERROR(VLOOKUP($G252,Tipos!$A$5:$B$51,2,FALSE),"—"))</f>
        <v/>
      </c>
      <c r="J252" s="15">
        <f>IF(COUNTA($A252:$C252)=0,"",IF($A252="","Falta a Área",IF($B252="","Falta o Setor",IF($C252="","Falta o nome",IF(COUNTIF($C$6:$C$403,$C252)&gt;1,"Nome repetido: use 01, 02… ou a Qtd",IF(LEFT($G252,7)="Confira","Confira o tipo na importação","OK"))))))</f>
        <v/>
      </c>
    </row>
    <row r="253">
      <c r="A253" s="16" t="n"/>
      <c r="B253" s="16" t="n"/>
      <c r="C253" s="16" t="n"/>
      <c r="D253" s="16" t="n"/>
      <c r="E253" s="17" t="n"/>
      <c r="F253" s="16" t="n"/>
      <c r="G253" s="15">
        <f>IF($C253="","",IFERROR(LOOKUP(2,1/((Reconhecimento!$A$5:$A$310&lt;&gt;"")*ISNUMBER(SEARCH(" "&amp;Reconhecimento!$A$5:$A$310," "&amp;$C253))),Reconhecimento!$B$5:$B$310),"Confira: escolha na importação"))</f>
        <v/>
      </c>
      <c r="H253" s="15">
        <f>IF($C253="","",IFERROR(LOOKUP(2,1/((Reconhecimento!$A$5:$A$310&lt;&gt;"")*ISNUMBER(SEARCH(" "&amp;Reconhecimento!$A$5:$A$310," "&amp;$C253))),Reconhecimento!$C$5:$C$310),"—"))</f>
        <v/>
      </c>
      <c r="I253" s="15">
        <f>IF($C253="","",IFERROR(VLOOKUP($G253,Tipos!$A$5:$B$51,2,FALSE),"—"))</f>
        <v/>
      </c>
      <c r="J253" s="15">
        <f>IF(COUNTA($A253:$C253)=0,"",IF($A253="","Falta a Área",IF($B253="","Falta o Setor",IF($C253="","Falta o nome",IF(COUNTIF($C$6:$C$403,$C253)&gt;1,"Nome repetido: use 01, 02… ou a Qtd",IF(LEFT($G253,7)="Confira","Confira o tipo na importação","OK"))))))</f>
        <v/>
      </c>
    </row>
    <row r="254">
      <c r="A254" s="16" t="n"/>
      <c r="B254" s="16" t="n"/>
      <c r="C254" s="16" t="n"/>
      <c r="D254" s="16" t="n"/>
      <c r="E254" s="17" t="n"/>
      <c r="F254" s="16" t="n"/>
      <c r="G254" s="15">
        <f>IF($C254="","",IFERROR(LOOKUP(2,1/((Reconhecimento!$A$5:$A$310&lt;&gt;"")*ISNUMBER(SEARCH(" "&amp;Reconhecimento!$A$5:$A$310," "&amp;$C254))),Reconhecimento!$B$5:$B$310),"Confira: escolha na importação"))</f>
        <v/>
      </c>
      <c r="H254" s="15">
        <f>IF($C254="","",IFERROR(LOOKUP(2,1/((Reconhecimento!$A$5:$A$310&lt;&gt;"")*ISNUMBER(SEARCH(" "&amp;Reconhecimento!$A$5:$A$310," "&amp;$C254))),Reconhecimento!$C$5:$C$310),"—"))</f>
        <v/>
      </c>
      <c r="I254" s="15">
        <f>IF($C254="","",IFERROR(VLOOKUP($G254,Tipos!$A$5:$B$51,2,FALSE),"—"))</f>
        <v/>
      </c>
      <c r="J254" s="15">
        <f>IF(COUNTA($A254:$C254)=0,"",IF($A254="","Falta a Área",IF($B254="","Falta o Setor",IF($C254="","Falta o nome",IF(COUNTIF($C$6:$C$403,$C254)&gt;1,"Nome repetido: use 01, 02… ou a Qtd",IF(LEFT($G254,7)="Confira","Confira o tipo na importação","OK"))))))</f>
        <v/>
      </c>
    </row>
    <row r="255">
      <c r="A255" s="16" t="n"/>
      <c r="B255" s="16" t="n"/>
      <c r="C255" s="16" t="n"/>
      <c r="D255" s="16" t="n"/>
      <c r="E255" s="17" t="n"/>
      <c r="F255" s="16" t="n"/>
      <c r="G255" s="15">
        <f>IF($C255="","",IFERROR(LOOKUP(2,1/((Reconhecimento!$A$5:$A$310&lt;&gt;"")*ISNUMBER(SEARCH(" "&amp;Reconhecimento!$A$5:$A$310," "&amp;$C255))),Reconhecimento!$B$5:$B$310),"Confira: escolha na importação"))</f>
        <v/>
      </c>
      <c r="H255" s="15">
        <f>IF($C255="","",IFERROR(LOOKUP(2,1/((Reconhecimento!$A$5:$A$310&lt;&gt;"")*ISNUMBER(SEARCH(" "&amp;Reconhecimento!$A$5:$A$310," "&amp;$C255))),Reconhecimento!$C$5:$C$310),"—"))</f>
        <v/>
      </c>
      <c r="I255" s="15">
        <f>IF($C255="","",IFERROR(VLOOKUP($G255,Tipos!$A$5:$B$51,2,FALSE),"—"))</f>
        <v/>
      </c>
      <c r="J255" s="15">
        <f>IF(COUNTA($A255:$C255)=0,"",IF($A255="","Falta a Área",IF($B255="","Falta o Setor",IF($C255="","Falta o nome",IF(COUNTIF($C$6:$C$403,$C255)&gt;1,"Nome repetido: use 01, 02… ou a Qtd",IF(LEFT($G255,7)="Confira","Confira o tipo na importação","OK"))))))</f>
        <v/>
      </c>
    </row>
    <row r="256">
      <c r="A256" s="16" t="n"/>
      <c r="B256" s="16" t="n"/>
      <c r="C256" s="16" t="n"/>
      <c r="D256" s="16" t="n"/>
      <c r="E256" s="17" t="n"/>
      <c r="F256" s="16" t="n"/>
      <c r="G256" s="15">
        <f>IF($C256="","",IFERROR(LOOKUP(2,1/((Reconhecimento!$A$5:$A$310&lt;&gt;"")*ISNUMBER(SEARCH(" "&amp;Reconhecimento!$A$5:$A$310," "&amp;$C256))),Reconhecimento!$B$5:$B$310),"Confira: escolha na importação"))</f>
        <v/>
      </c>
      <c r="H256" s="15">
        <f>IF($C256="","",IFERROR(LOOKUP(2,1/((Reconhecimento!$A$5:$A$310&lt;&gt;"")*ISNUMBER(SEARCH(" "&amp;Reconhecimento!$A$5:$A$310," "&amp;$C256))),Reconhecimento!$C$5:$C$310),"—"))</f>
        <v/>
      </c>
      <c r="I256" s="15">
        <f>IF($C256="","",IFERROR(VLOOKUP($G256,Tipos!$A$5:$B$51,2,FALSE),"—"))</f>
        <v/>
      </c>
      <c r="J256" s="15">
        <f>IF(COUNTA($A256:$C256)=0,"",IF($A256="","Falta a Área",IF($B256="","Falta o Setor",IF($C256="","Falta o nome",IF(COUNTIF($C$6:$C$403,$C256)&gt;1,"Nome repetido: use 01, 02… ou a Qtd",IF(LEFT($G256,7)="Confira","Confira o tipo na importação","OK"))))))</f>
        <v/>
      </c>
    </row>
    <row r="257">
      <c r="A257" s="16" t="n"/>
      <c r="B257" s="16" t="n"/>
      <c r="C257" s="16" t="n"/>
      <c r="D257" s="16" t="n"/>
      <c r="E257" s="17" t="n"/>
      <c r="F257" s="16" t="n"/>
      <c r="G257" s="15">
        <f>IF($C257="","",IFERROR(LOOKUP(2,1/((Reconhecimento!$A$5:$A$310&lt;&gt;"")*ISNUMBER(SEARCH(" "&amp;Reconhecimento!$A$5:$A$310," "&amp;$C257))),Reconhecimento!$B$5:$B$310),"Confira: escolha na importação"))</f>
        <v/>
      </c>
      <c r="H257" s="15">
        <f>IF($C257="","",IFERROR(LOOKUP(2,1/((Reconhecimento!$A$5:$A$310&lt;&gt;"")*ISNUMBER(SEARCH(" "&amp;Reconhecimento!$A$5:$A$310," "&amp;$C257))),Reconhecimento!$C$5:$C$310),"—"))</f>
        <v/>
      </c>
      <c r="I257" s="15">
        <f>IF($C257="","",IFERROR(VLOOKUP($G257,Tipos!$A$5:$B$51,2,FALSE),"—"))</f>
        <v/>
      </c>
      <c r="J257" s="15">
        <f>IF(COUNTA($A257:$C257)=0,"",IF($A257="","Falta a Área",IF($B257="","Falta o Setor",IF($C257="","Falta o nome",IF(COUNTIF($C$6:$C$403,$C257)&gt;1,"Nome repetido: use 01, 02… ou a Qtd",IF(LEFT($G257,7)="Confira","Confira o tipo na importação","OK"))))))</f>
        <v/>
      </c>
    </row>
    <row r="258">
      <c r="A258" s="16" t="n"/>
      <c r="B258" s="16" t="n"/>
      <c r="C258" s="16" t="n"/>
      <c r="D258" s="16" t="n"/>
      <c r="E258" s="17" t="n"/>
      <c r="F258" s="16" t="n"/>
      <c r="G258" s="15">
        <f>IF($C258="","",IFERROR(LOOKUP(2,1/((Reconhecimento!$A$5:$A$310&lt;&gt;"")*ISNUMBER(SEARCH(" "&amp;Reconhecimento!$A$5:$A$310," "&amp;$C258))),Reconhecimento!$B$5:$B$310),"Confira: escolha na importação"))</f>
        <v/>
      </c>
      <c r="H258" s="15">
        <f>IF($C258="","",IFERROR(LOOKUP(2,1/((Reconhecimento!$A$5:$A$310&lt;&gt;"")*ISNUMBER(SEARCH(" "&amp;Reconhecimento!$A$5:$A$310," "&amp;$C258))),Reconhecimento!$C$5:$C$310),"—"))</f>
        <v/>
      </c>
      <c r="I258" s="15">
        <f>IF($C258="","",IFERROR(VLOOKUP($G258,Tipos!$A$5:$B$51,2,FALSE),"—"))</f>
        <v/>
      </c>
      <c r="J258" s="15">
        <f>IF(COUNTA($A258:$C258)=0,"",IF($A258="","Falta a Área",IF($B258="","Falta o Setor",IF($C258="","Falta o nome",IF(COUNTIF($C$6:$C$403,$C258)&gt;1,"Nome repetido: use 01, 02… ou a Qtd",IF(LEFT($G258,7)="Confira","Confira o tipo na importação","OK"))))))</f>
        <v/>
      </c>
    </row>
    <row r="259">
      <c r="A259" s="16" t="n"/>
      <c r="B259" s="16" t="n"/>
      <c r="C259" s="16" t="n"/>
      <c r="D259" s="16" t="n"/>
      <c r="E259" s="17" t="n"/>
      <c r="F259" s="16" t="n"/>
      <c r="G259" s="15">
        <f>IF($C259="","",IFERROR(LOOKUP(2,1/((Reconhecimento!$A$5:$A$310&lt;&gt;"")*ISNUMBER(SEARCH(" "&amp;Reconhecimento!$A$5:$A$310," "&amp;$C259))),Reconhecimento!$B$5:$B$310),"Confira: escolha na importação"))</f>
        <v/>
      </c>
      <c r="H259" s="15">
        <f>IF($C259="","",IFERROR(LOOKUP(2,1/((Reconhecimento!$A$5:$A$310&lt;&gt;"")*ISNUMBER(SEARCH(" "&amp;Reconhecimento!$A$5:$A$310," "&amp;$C259))),Reconhecimento!$C$5:$C$310),"—"))</f>
        <v/>
      </c>
      <c r="I259" s="15">
        <f>IF($C259="","",IFERROR(VLOOKUP($G259,Tipos!$A$5:$B$51,2,FALSE),"—"))</f>
        <v/>
      </c>
      <c r="J259" s="15">
        <f>IF(COUNTA($A259:$C259)=0,"",IF($A259="","Falta a Área",IF($B259="","Falta o Setor",IF($C259="","Falta o nome",IF(COUNTIF($C$6:$C$403,$C259)&gt;1,"Nome repetido: use 01, 02… ou a Qtd",IF(LEFT($G259,7)="Confira","Confira o tipo na importação","OK"))))))</f>
        <v/>
      </c>
    </row>
    <row r="260">
      <c r="A260" s="16" t="n"/>
      <c r="B260" s="16" t="n"/>
      <c r="C260" s="16" t="n"/>
      <c r="D260" s="16" t="n"/>
      <c r="E260" s="17" t="n"/>
      <c r="F260" s="16" t="n"/>
      <c r="G260" s="15">
        <f>IF($C260="","",IFERROR(LOOKUP(2,1/((Reconhecimento!$A$5:$A$310&lt;&gt;"")*ISNUMBER(SEARCH(" "&amp;Reconhecimento!$A$5:$A$310," "&amp;$C260))),Reconhecimento!$B$5:$B$310),"Confira: escolha na importação"))</f>
        <v/>
      </c>
      <c r="H260" s="15">
        <f>IF($C260="","",IFERROR(LOOKUP(2,1/((Reconhecimento!$A$5:$A$310&lt;&gt;"")*ISNUMBER(SEARCH(" "&amp;Reconhecimento!$A$5:$A$310," "&amp;$C260))),Reconhecimento!$C$5:$C$310),"—"))</f>
        <v/>
      </c>
      <c r="I260" s="15">
        <f>IF($C260="","",IFERROR(VLOOKUP($G260,Tipos!$A$5:$B$51,2,FALSE),"—"))</f>
        <v/>
      </c>
      <c r="J260" s="15">
        <f>IF(COUNTA($A260:$C260)=0,"",IF($A260="","Falta a Área",IF($B260="","Falta o Setor",IF($C260="","Falta o nome",IF(COUNTIF($C$6:$C$403,$C260)&gt;1,"Nome repetido: use 01, 02… ou a Qtd",IF(LEFT($G260,7)="Confira","Confira o tipo na importação","OK"))))))</f>
        <v/>
      </c>
    </row>
    <row r="261">
      <c r="A261" s="16" t="n"/>
      <c r="B261" s="16" t="n"/>
      <c r="C261" s="16" t="n"/>
      <c r="D261" s="16" t="n"/>
      <c r="E261" s="17" t="n"/>
      <c r="F261" s="16" t="n"/>
      <c r="G261" s="15">
        <f>IF($C261="","",IFERROR(LOOKUP(2,1/((Reconhecimento!$A$5:$A$310&lt;&gt;"")*ISNUMBER(SEARCH(" "&amp;Reconhecimento!$A$5:$A$310," "&amp;$C261))),Reconhecimento!$B$5:$B$310),"Confira: escolha na importação"))</f>
        <v/>
      </c>
      <c r="H261" s="15">
        <f>IF($C261="","",IFERROR(LOOKUP(2,1/((Reconhecimento!$A$5:$A$310&lt;&gt;"")*ISNUMBER(SEARCH(" "&amp;Reconhecimento!$A$5:$A$310," "&amp;$C261))),Reconhecimento!$C$5:$C$310),"—"))</f>
        <v/>
      </c>
      <c r="I261" s="15">
        <f>IF($C261="","",IFERROR(VLOOKUP($G261,Tipos!$A$5:$B$51,2,FALSE),"—"))</f>
        <v/>
      </c>
      <c r="J261" s="15">
        <f>IF(COUNTA($A261:$C261)=0,"",IF($A261="","Falta a Área",IF($B261="","Falta o Setor",IF($C261="","Falta o nome",IF(COUNTIF($C$6:$C$403,$C261)&gt;1,"Nome repetido: use 01, 02… ou a Qtd",IF(LEFT($G261,7)="Confira","Confira o tipo na importação","OK"))))))</f>
        <v/>
      </c>
    </row>
    <row r="262">
      <c r="A262" s="16" t="n"/>
      <c r="B262" s="16" t="n"/>
      <c r="C262" s="16" t="n"/>
      <c r="D262" s="16" t="n"/>
      <c r="E262" s="17" t="n"/>
      <c r="F262" s="16" t="n"/>
      <c r="G262" s="15">
        <f>IF($C262="","",IFERROR(LOOKUP(2,1/((Reconhecimento!$A$5:$A$310&lt;&gt;"")*ISNUMBER(SEARCH(" "&amp;Reconhecimento!$A$5:$A$310," "&amp;$C262))),Reconhecimento!$B$5:$B$310),"Confira: escolha na importação"))</f>
        <v/>
      </c>
      <c r="H262" s="15">
        <f>IF($C262="","",IFERROR(LOOKUP(2,1/((Reconhecimento!$A$5:$A$310&lt;&gt;"")*ISNUMBER(SEARCH(" "&amp;Reconhecimento!$A$5:$A$310," "&amp;$C262))),Reconhecimento!$C$5:$C$310),"—"))</f>
        <v/>
      </c>
      <c r="I262" s="15">
        <f>IF($C262="","",IFERROR(VLOOKUP($G262,Tipos!$A$5:$B$51,2,FALSE),"—"))</f>
        <v/>
      </c>
      <c r="J262" s="15">
        <f>IF(COUNTA($A262:$C262)=0,"",IF($A262="","Falta a Área",IF($B262="","Falta o Setor",IF($C262="","Falta o nome",IF(COUNTIF($C$6:$C$403,$C262)&gt;1,"Nome repetido: use 01, 02… ou a Qtd",IF(LEFT($G262,7)="Confira","Confira o tipo na importação","OK"))))))</f>
        <v/>
      </c>
    </row>
    <row r="263">
      <c r="A263" s="16" t="n"/>
      <c r="B263" s="16" t="n"/>
      <c r="C263" s="16" t="n"/>
      <c r="D263" s="16" t="n"/>
      <c r="E263" s="17" t="n"/>
      <c r="F263" s="16" t="n"/>
      <c r="G263" s="15">
        <f>IF($C263="","",IFERROR(LOOKUP(2,1/((Reconhecimento!$A$5:$A$310&lt;&gt;"")*ISNUMBER(SEARCH(" "&amp;Reconhecimento!$A$5:$A$310," "&amp;$C263))),Reconhecimento!$B$5:$B$310),"Confira: escolha na importação"))</f>
        <v/>
      </c>
      <c r="H263" s="15">
        <f>IF($C263="","",IFERROR(LOOKUP(2,1/((Reconhecimento!$A$5:$A$310&lt;&gt;"")*ISNUMBER(SEARCH(" "&amp;Reconhecimento!$A$5:$A$310," "&amp;$C263))),Reconhecimento!$C$5:$C$310),"—"))</f>
        <v/>
      </c>
      <c r="I263" s="15">
        <f>IF($C263="","",IFERROR(VLOOKUP($G263,Tipos!$A$5:$B$51,2,FALSE),"—"))</f>
        <v/>
      </c>
      <c r="J263" s="15">
        <f>IF(COUNTA($A263:$C263)=0,"",IF($A263="","Falta a Área",IF($B263="","Falta o Setor",IF($C263="","Falta o nome",IF(COUNTIF($C$6:$C$403,$C263)&gt;1,"Nome repetido: use 01, 02… ou a Qtd",IF(LEFT($G263,7)="Confira","Confira o tipo na importação","OK"))))))</f>
        <v/>
      </c>
    </row>
    <row r="264">
      <c r="A264" s="16" t="n"/>
      <c r="B264" s="16" t="n"/>
      <c r="C264" s="16" t="n"/>
      <c r="D264" s="16" t="n"/>
      <c r="E264" s="17" t="n"/>
      <c r="F264" s="16" t="n"/>
      <c r="G264" s="15">
        <f>IF($C264="","",IFERROR(LOOKUP(2,1/((Reconhecimento!$A$5:$A$310&lt;&gt;"")*ISNUMBER(SEARCH(" "&amp;Reconhecimento!$A$5:$A$310," "&amp;$C264))),Reconhecimento!$B$5:$B$310),"Confira: escolha na importação"))</f>
        <v/>
      </c>
      <c r="H264" s="15">
        <f>IF($C264="","",IFERROR(LOOKUP(2,1/((Reconhecimento!$A$5:$A$310&lt;&gt;"")*ISNUMBER(SEARCH(" "&amp;Reconhecimento!$A$5:$A$310," "&amp;$C264))),Reconhecimento!$C$5:$C$310),"—"))</f>
        <v/>
      </c>
      <c r="I264" s="15">
        <f>IF($C264="","",IFERROR(VLOOKUP($G264,Tipos!$A$5:$B$51,2,FALSE),"—"))</f>
        <v/>
      </c>
      <c r="J264" s="15">
        <f>IF(COUNTA($A264:$C264)=0,"",IF($A264="","Falta a Área",IF($B264="","Falta o Setor",IF($C264="","Falta o nome",IF(COUNTIF($C$6:$C$403,$C264)&gt;1,"Nome repetido: use 01, 02… ou a Qtd",IF(LEFT($G264,7)="Confira","Confira o tipo na importação","OK"))))))</f>
        <v/>
      </c>
    </row>
    <row r="265">
      <c r="A265" s="16" t="n"/>
      <c r="B265" s="16" t="n"/>
      <c r="C265" s="16" t="n"/>
      <c r="D265" s="16" t="n"/>
      <c r="E265" s="17" t="n"/>
      <c r="F265" s="16" t="n"/>
      <c r="G265" s="15">
        <f>IF($C265="","",IFERROR(LOOKUP(2,1/((Reconhecimento!$A$5:$A$310&lt;&gt;"")*ISNUMBER(SEARCH(" "&amp;Reconhecimento!$A$5:$A$310," "&amp;$C265))),Reconhecimento!$B$5:$B$310),"Confira: escolha na importação"))</f>
        <v/>
      </c>
      <c r="H265" s="15">
        <f>IF($C265="","",IFERROR(LOOKUP(2,1/((Reconhecimento!$A$5:$A$310&lt;&gt;"")*ISNUMBER(SEARCH(" "&amp;Reconhecimento!$A$5:$A$310," "&amp;$C265))),Reconhecimento!$C$5:$C$310),"—"))</f>
        <v/>
      </c>
      <c r="I265" s="15">
        <f>IF($C265="","",IFERROR(VLOOKUP($G265,Tipos!$A$5:$B$51,2,FALSE),"—"))</f>
        <v/>
      </c>
      <c r="J265" s="15">
        <f>IF(COUNTA($A265:$C265)=0,"",IF($A265="","Falta a Área",IF($B265="","Falta o Setor",IF($C265="","Falta o nome",IF(COUNTIF($C$6:$C$403,$C265)&gt;1,"Nome repetido: use 01, 02… ou a Qtd",IF(LEFT($G265,7)="Confira","Confira o tipo na importação","OK"))))))</f>
        <v/>
      </c>
    </row>
    <row r="266">
      <c r="A266" s="16" t="n"/>
      <c r="B266" s="16" t="n"/>
      <c r="C266" s="16" t="n"/>
      <c r="D266" s="16" t="n"/>
      <c r="E266" s="17" t="n"/>
      <c r="F266" s="16" t="n"/>
      <c r="G266" s="15">
        <f>IF($C266="","",IFERROR(LOOKUP(2,1/((Reconhecimento!$A$5:$A$310&lt;&gt;"")*ISNUMBER(SEARCH(" "&amp;Reconhecimento!$A$5:$A$310," "&amp;$C266))),Reconhecimento!$B$5:$B$310),"Confira: escolha na importação"))</f>
        <v/>
      </c>
      <c r="H266" s="15">
        <f>IF($C266="","",IFERROR(LOOKUP(2,1/((Reconhecimento!$A$5:$A$310&lt;&gt;"")*ISNUMBER(SEARCH(" "&amp;Reconhecimento!$A$5:$A$310," "&amp;$C266))),Reconhecimento!$C$5:$C$310),"—"))</f>
        <v/>
      </c>
      <c r="I266" s="15">
        <f>IF($C266="","",IFERROR(VLOOKUP($G266,Tipos!$A$5:$B$51,2,FALSE),"—"))</f>
        <v/>
      </c>
      <c r="J266" s="15">
        <f>IF(COUNTA($A266:$C266)=0,"",IF($A266="","Falta a Área",IF($B266="","Falta o Setor",IF($C266="","Falta o nome",IF(COUNTIF($C$6:$C$403,$C266)&gt;1,"Nome repetido: use 01, 02… ou a Qtd",IF(LEFT($G266,7)="Confira","Confira o tipo na importação","OK"))))))</f>
        <v/>
      </c>
    </row>
    <row r="267">
      <c r="A267" s="16" t="n"/>
      <c r="B267" s="16" t="n"/>
      <c r="C267" s="16" t="n"/>
      <c r="D267" s="16" t="n"/>
      <c r="E267" s="17" t="n"/>
      <c r="F267" s="16" t="n"/>
      <c r="G267" s="15">
        <f>IF($C267="","",IFERROR(LOOKUP(2,1/((Reconhecimento!$A$5:$A$310&lt;&gt;"")*ISNUMBER(SEARCH(" "&amp;Reconhecimento!$A$5:$A$310," "&amp;$C267))),Reconhecimento!$B$5:$B$310),"Confira: escolha na importação"))</f>
        <v/>
      </c>
      <c r="H267" s="15">
        <f>IF($C267="","",IFERROR(LOOKUP(2,1/((Reconhecimento!$A$5:$A$310&lt;&gt;"")*ISNUMBER(SEARCH(" "&amp;Reconhecimento!$A$5:$A$310," "&amp;$C267))),Reconhecimento!$C$5:$C$310),"—"))</f>
        <v/>
      </c>
      <c r="I267" s="15">
        <f>IF($C267="","",IFERROR(VLOOKUP($G267,Tipos!$A$5:$B$51,2,FALSE),"—"))</f>
        <v/>
      </c>
      <c r="J267" s="15">
        <f>IF(COUNTA($A267:$C267)=0,"",IF($A267="","Falta a Área",IF($B267="","Falta o Setor",IF($C267="","Falta o nome",IF(COUNTIF($C$6:$C$403,$C267)&gt;1,"Nome repetido: use 01, 02… ou a Qtd",IF(LEFT($G267,7)="Confira","Confira o tipo na importação","OK"))))))</f>
        <v/>
      </c>
    </row>
    <row r="268">
      <c r="A268" s="16" t="n"/>
      <c r="B268" s="16" t="n"/>
      <c r="C268" s="16" t="n"/>
      <c r="D268" s="16" t="n"/>
      <c r="E268" s="17" t="n"/>
      <c r="F268" s="16" t="n"/>
      <c r="G268" s="15">
        <f>IF($C268="","",IFERROR(LOOKUP(2,1/((Reconhecimento!$A$5:$A$310&lt;&gt;"")*ISNUMBER(SEARCH(" "&amp;Reconhecimento!$A$5:$A$310," "&amp;$C268))),Reconhecimento!$B$5:$B$310),"Confira: escolha na importação"))</f>
        <v/>
      </c>
      <c r="H268" s="15">
        <f>IF($C268="","",IFERROR(LOOKUP(2,1/((Reconhecimento!$A$5:$A$310&lt;&gt;"")*ISNUMBER(SEARCH(" "&amp;Reconhecimento!$A$5:$A$310," "&amp;$C268))),Reconhecimento!$C$5:$C$310),"—"))</f>
        <v/>
      </c>
      <c r="I268" s="15">
        <f>IF($C268="","",IFERROR(VLOOKUP($G268,Tipos!$A$5:$B$51,2,FALSE),"—"))</f>
        <v/>
      </c>
      <c r="J268" s="15">
        <f>IF(COUNTA($A268:$C268)=0,"",IF($A268="","Falta a Área",IF($B268="","Falta o Setor",IF($C268="","Falta o nome",IF(COUNTIF($C$6:$C$403,$C268)&gt;1,"Nome repetido: use 01, 02… ou a Qtd",IF(LEFT($G268,7)="Confira","Confira o tipo na importação","OK"))))))</f>
        <v/>
      </c>
    </row>
    <row r="269">
      <c r="A269" s="16" t="n"/>
      <c r="B269" s="16" t="n"/>
      <c r="C269" s="16" t="n"/>
      <c r="D269" s="16" t="n"/>
      <c r="E269" s="17" t="n"/>
      <c r="F269" s="16" t="n"/>
      <c r="G269" s="15">
        <f>IF($C269="","",IFERROR(LOOKUP(2,1/((Reconhecimento!$A$5:$A$310&lt;&gt;"")*ISNUMBER(SEARCH(" "&amp;Reconhecimento!$A$5:$A$310," "&amp;$C269))),Reconhecimento!$B$5:$B$310),"Confira: escolha na importação"))</f>
        <v/>
      </c>
      <c r="H269" s="15">
        <f>IF($C269="","",IFERROR(LOOKUP(2,1/((Reconhecimento!$A$5:$A$310&lt;&gt;"")*ISNUMBER(SEARCH(" "&amp;Reconhecimento!$A$5:$A$310," "&amp;$C269))),Reconhecimento!$C$5:$C$310),"—"))</f>
        <v/>
      </c>
      <c r="I269" s="15">
        <f>IF($C269="","",IFERROR(VLOOKUP($G269,Tipos!$A$5:$B$51,2,FALSE),"—"))</f>
        <v/>
      </c>
      <c r="J269" s="15">
        <f>IF(COUNTA($A269:$C269)=0,"",IF($A269="","Falta a Área",IF($B269="","Falta o Setor",IF($C269="","Falta o nome",IF(COUNTIF($C$6:$C$403,$C269)&gt;1,"Nome repetido: use 01, 02… ou a Qtd",IF(LEFT($G269,7)="Confira","Confira o tipo na importação","OK"))))))</f>
        <v/>
      </c>
    </row>
    <row r="270">
      <c r="A270" s="16" t="n"/>
      <c r="B270" s="16" t="n"/>
      <c r="C270" s="16" t="n"/>
      <c r="D270" s="16" t="n"/>
      <c r="E270" s="17" t="n"/>
      <c r="F270" s="16" t="n"/>
      <c r="G270" s="15">
        <f>IF($C270="","",IFERROR(LOOKUP(2,1/((Reconhecimento!$A$5:$A$310&lt;&gt;"")*ISNUMBER(SEARCH(" "&amp;Reconhecimento!$A$5:$A$310," "&amp;$C270))),Reconhecimento!$B$5:$B$310),"Confira: escolha na importação"))</f>
        <v/>
      </c>
      <c r="H270" s="15">
        <f>IF($C270="","",IFERROR(LOOKUP(2,1/((Reconhecimento!$A$5:$A$310&lt;&gt;"")*ISNUMBER(SEARCH(" "&amp;Reconhecimento!$A$5:$A$310," "&amp;$C270))),Reconhecimento!$C$5:$C$310),"—"))</f>
        <v/>
      </c>
      <c r="I270" s="15">
        <f>IF($C270="","",IFERROR(VLOOKUP($G270,Tipos!$A$5:$B$51,2,FALSE),"—"))</f>
        <v/>
      </c>
      <c r="J270" s="15">
        <f>IF(COUNTA($A270:$C270)=0,"",IF($A270="","Falta a Área",IF($B270="","Falta o Setor",IF($C270="","Falta o nome",IF(COUNTIF($C$6:$C$403,$C270)&gt;1,"Nome repetido: use 01, 02… ou a Qtd",IF(LEFT($G270,7)="Confira","Confira o tipo na importação","OK"))))))</f>
        <v/>
      </c>
    </row>
    <row r="271">
      <c r="A271" s="16" t="n"/>
      <c r="B271" s="16" t="n"/>
      <c r="C271" s="16" t="n"/>
      <c r="D271" s="16" t="n"/>
      <c r="E271" s="17" t="n"/>
      <c r="F271" s="16" t="n"/>
      <c r="G271" s="15">
        <f>IF($C271="","",IFERROR(LOOKUP(2,1/((Reconhecimento!$A$5:$A$310&lt;&gt;"")*ISNUMBER(SEARCH(" "&amp;Reconhecimento!$A$5:$A$310," "&amp;$C271))),Reconhecimento!$B$5:$B$310),"Confira: escolha na importação"))</f>
        <v/>
      </c>
      <c r="H271" s="15">
        <f>IF($C271="","",IFERROR(LOOKUP(2,1/((Reconhecimento!$A$5:$A$310&lt;&gt;"")*ISNUMBER(SEARCH(" "&amp;Reconhecimento!$A$5:$A$310," "&amp;$C271))),Reconhecimento!$C$5:$C$310),"—"))</f>
        <v/>
      </c>
      <c r="I271" s="15">
        <f>IF($C271="","",IFERROR(VLOOKUP($G271,Tipos!$A$5:$B$51,2,FALSE),"—"))</f>
        <v/>
      </c>
      <c r="J271" s="15">
        <f>IF(COUNTA($A271:$C271)=0,"",IF($A271="","Falta a Área",IF($B271="","Falta o Setor",IF($C271="","Falta o nome",IF(COUNTIF($C$6:$C$403,$C271)&gt;1,"Nome repetido: use 01, 02… ou a Qtd",IF(LEFT($G271,7)="Confira","Confira o tipo na importação","OK"))))))</f>
        <v/>
      </c>
    </row>
    <row r="272">
      <c r="A272" s="16" t="n"/>
      <c r="B272" s="16" t="n"/>
      <c r="C272" s="16" t="n"/>
      <c r="D272" s="16" t="n"/>
      <c r="E272" s="17" t="n"/>
      <c r="F272" s="16" t="n"/>
      <c r="G272" s="15">
        <f>IF($C272="","",IFERROR(LOOKUP(2,1/((Reconhecimento!$A$5:$A$310&lt;&gt;"")*ISNUMBER(SEARCH(" "&amp;Reconhecimento!$A$5:$A$310," "&amp;$C272))),Reconhecimento!$B$5:$B$310),"Confira: escolha na importação"))</f>
        <v/>
      </c>
      <c r="H272" s="15">
        <f>IF($C272="","",IFERROR(LOOKUP(2,1/((Reconhecimento!$A$5:$A$310&lt;&gt;"")*ISNUMBER(SEARCH(" "&amp;Reconhecimento!$A$5:$A$310," "&amp;$C272))),Reconhecimento!$C$5:$C$310),"—"))</f>
        <v/>
      </c>
      <c r="I272" s="15">
        <f>IF($C272="","",IFERROR(VLOOKUP($G272,Tipos!$A$5:$B$51,2,FALSE),"—"))</f>
        <v/>
      </c>
      <c r="J272" s="15">
        <f>IF(COUNTA($A272:$C272)=0,"",IF($A272="","Falta a Área",IF($B272="","Falta o Setor",IF($C272="","Falta o nome",IF(COUNTIF($C$6:$C$403,$C272)&gt;1,"Nome repetido: use 01, 02… ou a Qtd",IF(LEFT($G272,7)="Confira","Confira o tipo na importação","OK"))))))</f>
        <v/>
      </c>
    </row>
    <row r="273">
      <c r="A273" s="16" t="n"/>
      <c r="B273" s="16" t="n"/>
      <c r="C273" s="16" t="n"/>
      <c r="D273" s="16" t="n"/>
      <c r="E273" s="17" t="n"/>
      <c r="F273" s="16" t="n"/>
      <c r="G273" s="15">
        <f>IF($C273="","",IFERROR(LOOKUP(2,1/((Reconhecimento!$A$5:$A$310&lt;&gt;"")*ISNUMBER(SEARCH(" "&amp;Reconhecimento!$A$5:$A$310," "&amp;$C273))),Reconhecimento!$B$5:$B$310),"Confira: escolha na importação"))</f>
        <v/>
      </c>
      <c r="H273" s="15">
        <f>IF($C273="","",IFERROR(LOOKUP(2,1/((Reconhecimento!$A$5:$A$310&lt;&gt;"")*ISNUMBER(SEARCH(" "&amp;Reconhecimento!$A$5:$A$310," "&amp;$C273))),Reconhecimento!$C$5:$C$310),"—"))</f>
        <v/>
      </c>
      <c r="I273" s="15">
        <f>IF($C273="","",IFERROR(VLOOKUP($G273,Tipos!$A$5:$B$51,2,FALSE),"—"))</f>
        <v/>
      </c>
      <c r="J273" s="15">
        <f>IF(COUNTA($A273:$C273)=0,"",IF($A273="","Falta a Área",IF($B273="","Falta o Setor",IF($C273="","Falta o nome",IF(COUNTIF($C$6:$C$403,$C273)&gt;1,"Nome repetido: use 01, 02… ou a Qtd",IF(LEFT($G273,7)="Confira","Confira o tipo na importação","OK"))))))</f>
        <v/>
      </c>
    </row>
    <row r="274">
      <c r="A274" s="16" t="n"/>
      <c r="B274" s="16" t="n"/>
      <c r="C274" s="16" t="n"/>
      <c r="D274" s="16" t="n"/>
      <c r="E274" s="17" t="n"/>
      <c r="F274" s="16" t="n"/>
      <c r="G274" s="15">
        <f>IF($C274="","",IFERROR(LOOKUP(2,1/((Reconhecimento!$A$5:$A$310&lt;&gt;"")*ISNUMBER(SEARCH(" "&amp;Reconhecimento!$A$5:$A$310," "&amp;$C274))),Reconhecimento!$B$5:$B$310),"Confira: escolha na importação"))</f>
        <v/>
      </c>
      <c r="H274" s="15">
        <f>IF($C274="","",IFERROR(LOOKUP(2,1/((Reconhecimento!$A$5:$A$310&lt;&gt;"")*ISNUMBER(SEARCH(" "&amp;Reconhecimento!$A$5:$A$310," "&amp;$C274))),Reconhecimento!$C$5:$C$310),"—"))</f>
        <v/>
      </c>
      <c r="I274" s="15">
        <f>IF($C274="","",IFERROR(VLOOKUP($G274,Tipos!$A$5:$B$51,2,FALSE),"—"))</f>
        <v/>
      </c>
      <c r="J274" s="15">
        <f>IF(COUNTA($A274:$C274)=0,"",IF($A274="","Falta a Área",IF($B274="","Falta o Setor",IF($C274="","Falta o nome",IF(COUNTIF($C$6:$C$403,$C274)&gt;1,"Nome repetido: use 01, 02… ou a Qtd",IF(LEFT($G274,7)="Confira","Confira o tipo na importação","OK"))))))</f>
        <v/>
      </c>
    </row>
    <row r="275">
      <c r="A275" s="16" t="n"/>
      <c r="B275" s="16" t="n"/>
      <c r="C275" s="16" t="n"/>
      <c r="D275" s="16" t="n"/>
      <c r="E275" s="17" t="n"/>
      <c r="F275" s="16" t="n"/>
      <c r="G275" s="15">
        <f>IF($C275="","",IFERROR(LOOKUP(2,1/((Reconhecimento!$A$5:$A$310&lt;&gt;"")*ISNUMBER(SEARCH(" "&amp;Reconhecimento!$A$5:$A$310," "&amp;$C275))),Reconhecimento!$B$5:$B$310),"Confira: escolha na importação"))</f>
        <v/>
      </c>
      <c r="H275" s="15">
        <f>IF($C275="","",IFERROR(LOOKUP(2,1/((Reconhecimento!$A$5:$A$310&lt;&gt;"")*ISNUMBER(SEARCH(" "&amp;Reconhecimento!$A$5:$A$310," "&amp;$C275))),Reconhecimento!$C$5:$C$310),"—"))</f>
        <v/>
      </c>
      <c r="I275" s="15">
        <f>IF($C275="","",IFERROR(VLOOKUP($G275,Tipos!$A$5:$B$51,2,FALSE),"—"))</f>
        <v/>
      </c>
      <c r="J275" s="15">
        <f>IF(COUNTA($A275:$C275)=0,"",IF($A275="","Falta a Área",IF($B275="","Falta o Setor",IF($C275="","Falta o nome",IF(COUNTIF($C$6:$C$403,$C275)&gt;1,"Nome repetido: use 01, 02… ou a Qtd",IF(LEFT($G275,7)="Confira","Confira o tipo na importação","OK"))))))</f>
        <v/>
      </c>
    </row>
    <row r="276">
      <c r="A276" s="16" t="n"/>
      <c r="B276" s="16" t="n"/>
      <c r="C276" s="16" t="n"/>
      <c r="D276" s="16" t="n"/>
      <c r="E276" s="17" t="n"/>
      <c r="F276" s="16" t="n"/>
      <c r="G276" s="15">
        <f>IF($C276="","",IFERROR(LOOKUP(2,1/((Reconhecimento!$A$5:$A$310&lt;&gt;"")*ISNUMBER(SEARCH(" "&amp;Reconhecimento!$A$5:$A$310," "&amp;$C276))),Reconhecimento!$B$5:$B$310),"Confira: escolha na importação"))</f>
        <v/>
      </c>
      <c r="H276" s="15">
        <f>IF($C276="","",IFERROR(LOOKUP(2,1/((Reconhecimento!$A$5:$A$310&lt;&gt;"")*ISNUMBER(SEARCH(" "&amp;Reconhecimento!$A$5:$A$310," "&amp;$C276))),Reconhecimento!$C$5:$C$310),"—"))</f>
        <v/>
      </c>
      <c r="I276" s="15">
        <f>IF($C276="","",IFERROR(VLOOKUP($G276,Tipos!$A$5:$B$51,2,FALSE),"—"))</f>
        <v/>
      </c>
      <c r="J276" s="15">
        <f>IF(COUNTA($A276:$C276)=0,"",IF($A276="","Falta a Área",IF($B276="","Falta o Setor",IF($C276="","Falta o nome",IF(COUNTIF($C$6:$C$403,$C276)&gt;1,"Nome repetido: use 01, 02… ou a Qtd",IF(LEFT($G276,7)="Confira","Confira o tipo na importação","OK"))))))</f>
        <v/>
      </c>
    </row>
    <row r="277">
      <c r="A277" s="16" t="n"/>
      <c r="B277" s="16" t="n"/>
      <c r="C277" s="16" t="n"/>
      <c r="D277" s="16" t="n"/>
      <c r="E277" s="17" t="n"/>
      <c r="F277" s="16" t="n"/>
      <c r="G277" s="15">
        <f>IF($C277="","",IFERROR(LOOKUP(2,1/((Reconhecimento!$A$5:$A$310&lt;&gt;"")*ISNUMBER(SEARCH(" "&amp;Reconhecimento!$A$5:$A$310," "&amp;$C277))),Reconhecimento!$B$5:$B$310),"Confira: escolha na importação"))</f>
        <v/>
      </c>
      <c r="H277" s="15">
        <f>IF($C277="","",IFERROR(LOOKUP(2,1/((Reconhecimento!$A$5:$A$310&lt;&gt;"")*ISNUMBER(SEARCH(" "&amp;Reconhecimento!$A$5:$A$310," "&amp;$C277))),Reconhecimento!$C$5:$C$310),"—"))</f>
        <v/>
      </c>
      <c r="I277" s="15">
        <f>IF($C277="","",IFERROR(VLOOKUP($G277,Tipos!$A$5:$B$51,2,FALSE),"—"))</f>
        <v/>
      </c>
      <c r="J277" s="15">
        <f>IF(COUNTA($A277:$C277)=0,"",IF($A277="","Falta a Área",IF($B277="","Falta o Setor",IF($C277="","Falta o nome",IF(COUNTIF($C$6:$C$403,$C277)&gt;1,"Nome repetido: use 01, 02… ou a Qtd",IF(LEFT($G277,7)="Confira","Confira o tipo na importação","OK"))))))</f>
        <v/>
      </c>
    </row>
    <row r="278">
      <c r="A278" s="16" t="n"/>
      <c r="B278" s="16" t="n"/>
      <c r="C278" s="16" t="n"/>
      <c r="D278" s="16" t="n"/>
      <c r="E278" s="17" t="n"/>
      <c r="F278" s="16" t="n"/>
      <c r="G278" s="15">
        <f>IF($C278="","",IFERROR(LOOKUP(2,1/((Reconhecimento!$A$5:$A$310&lt;&gt;"")*ISNUMBER(SEARCH(" "&amp;Reconhecimento!$A$5:$A$310," "&amp;$C278))),Reconhecimento!$B$5:$B$310),"Confira: escolha na importação"))</f>
        <v/>
      </c>
      <c r="H278" s="15">
        <f>IF($C278="","",IFERROR(LOOKUP(2,1/((Reconhecimento!$A$5:$A$310&lt;&gt;"")*ISNUMBER(SEARCH(" "&amp;Reconhecimento!$A$5:$A$310," "&amp;$C278))),Reconhecimento!$C$5:$C$310),"—"))</f>
        <v/>
      </c>
      <c r="I278" s="15">
        <f>IF($C278="","",IFERROR(VLOOKUP($G278,Tipos!$A$5:$B$51,2,FALSE),"—"))</f>
        <v/>
      </c>
      <c r="J278" s="15">
        <f>IF(COUNTA($A278:$C278)=0,"",IF($A278="","Falta a Área",IF($B278="","Falta o Setor",IF($C278="","Falta o nome",IF(COUNTIF($C$6:$C$403,$C278)&gt;1,"Nome repetido: use 01, 02… ou a Qtd",IF(LEFT($G278,7)="Confira","Confira o tipo na importação","OK"))))))</f>
        <v/>
      </c>
    </row>
    <row r="279">
      <c r="A279" s="16" t="n"/>
      <c r="B279" s="16" t="n"/>
      <c r="C279" s="16" t="n"/>
      <c r="D279" s="16" t="n"/>
      <c r="E279" s="17" t="n"/>
      <c r="F279" s="16" t="n"/>
      <c r="G279" s="15">
        <f>IF($C279="","",IFERROR(LOOKUP(2,1/((Reconhecimento!$A$5:$A$310&lt;&gt;"")*ISNUMBER(SEARCH(" "&amp;Reconhecimento!$A$5:$A$310," "&amp;$C279))),Reconhecimento!$B$5:$B$310),"Confira: escolha na importação"))</f>
        <v/>
      </c>
      <c r="H279" s="15">
        <f>IF($C279="","",IFERROR(LOOKUP(2,1/((Reconhecimento!$A$5:$A$310&lt;&gt;"")*ISNUMBER(SEARCH(" "&amp;Reconhecimento!$A$5:$A$310," "&amp;$C279))),Reconhecimento!$C$5:$C$310),"—"))</f>
        <v/>
      </c>
      <c r="I279" s="15">
        <f>IF($C279="","",IFERROR(VLOOKUP($G279,Tipos!$A$5:$B$51,2,FALSE),"—"))</f>
        <v/>
      </c>
      <c r="J279" s="15">
        <f>IF(COUNTA($A279:$C279)=0,"",IF($A279="","Falta a Área",IF($B279="","Falta o Setor",IF($C279="","Falta o nome",IF(COUNTIF($C$6:$C$403,$C279)&gt;1,"Nome repetido: use 01, 02… ou a Qtd",IF(LEFT($G279,7)="Confira","Confira o tipo na importação","OK"))))))</f>
        <v/>
      </c>
    </row>
    <row r="280">
      <c r="A280" s="16" t="n"/>
      <c r="B280" s="16" t="n"/>
      <c r="C280" s="16" t="n"/>
      <c r="D280" s="16" t="n"/>
      <c r="E280" s="17" t="n"/>
      <c r="F280" s="16" t="n"/>
      <c r="G280" s="15">
        <f>IF($C280="","",IFERROR(LOOKUP(2,1/((Reconhecimento!$A$5:$A$310&lt;&gt;"")*ISNUMBER(SEARCH(" "&amp;Reconhecimento!$A$5:$A$310," "&amp;$C280))),Reconhecimento!$B$5:$B$310),"Confira: escolha na importação"))</f>
        <v/>
      </c>
      <c r="H280" s="15">
        <f>IF($C280="","",IFERROR(LOOKUP(2,1/((Reconhecimento!$A$5:$A$310&lt;&gt;"")*ISNUMBER(SEARCH(" "&amp;Reconhecimento!$A$5:$A$310," "&amp;$C280))),Reconhecimento!$C$5:$C$310),"—"))</f>
        <v/>
      </c>
      <c r="I280" s="15">
        <f>IF($C280="","",IFERROR(VLOOKUP($G280,Tipos!$A$5:$B$51,2,FALSE),"—"))</f>
        <v/>
      </c>
      <c r="J280" s="15">
        <f>IF(COUNTA($A280:$C280)=0,"",IF($A280="","Falta a Área",IF($B280="","Falta o Setor",IF($C280="","Falta o nome",IF(COUNTIF($C$6:$C$403,$C280)&gt;1,"Nome repetido: use 01, 02… ou a Qtd",IF(LEFT($G280,7)="Confira","Confira o tipo na importação","OK"))))))</f>
        <v/>
      </c>
    </row>
    <row r="281">
      <c r="A281" s="16" t="n"/>
      <c r="B281" s="16" t="n"/>
      <c r="C281" s="16" t="n"/>
      <c r="D281" s="16" t="n"/>
      <c r="E281" s="17" t="n"/>
      <c r="F281" s="16" t="n"/>
      <c r="G281" s="15">
        <f>IF($C281="","",IFERROR(LOOKUP(2,1/((Reconhecimento!$A$5:$A$310&lt;&gt;"")*ISNUMBER(SEARCH(" "&amp;Reconhecimento!$A$5:$A$310," "&amp;$C281))),Reconhecimento!$B$5:$B$310),"Confira: escolha na importação"))</f>
        <v/>
      </c>
      <c r="H281" s="15">
        <f>IF($C281="","",IFERROR(LOOKUP(2,1/((Reconhecimento!$A$5:$A$310&lt;&gt;"")*ISNUMBER(SEARCH(" "&amp;Reconhecimento!$A$5:$A$310," "&amp;$C281))),Reconhecimento!$C$5:$C$310),"—"))</f>
        <v/>
      </c>
      <c r="I281" s="15">
        <f>IF($C281="","",IFERROR(VLOOKUP($G281,Tipos!$A$5:$B$51,2,FALSE),"—"))</f>
        <v/>
      </c>
      <c r="J281" s="15">
        <f>IF(COUNTA($A281:$C281)=0,"",IF($A281="","Falta a Área",IF($B281="","Falta o Setor",IF($C281="","Falta o nome",IF(COUNTIF($C$6:$C$403,$C281)&gt;1,"Nome repetido: use 01, 02… ou a Qtd",IF(LEFT($G281,7)="Confira","Confira o tipo na importação","OK"))))))</f>
        <v/>
      </c>
    </row>
    <row r="282">
      <c r="A282" s="16" t="n"/>
      <c r="B282" s="16" t="n"/>
      <c r="C282" s="16" t="n"/>
      <c r="D282" s="16" t="n"/>
      <c r="E282" s="17" t="n"/>
      <c r="F282" s="16" t="n"/>
      <c r="G282" s="15">
        <f>IF($C282="","",IFERROR(LOOKUP(2,1/((Reconhecimento!$A$5:$A$310&lt;&gt;"")*ISNUMBER(SEARCH(" "&amp;Reconhecimento!$A$5:$A$310," "&amp;$C282))),Reconhecimento!$B$5:$B$310),"Confira: escolha na importação"))</f>
        <v/>
      </c>
      <c r="H282" s="15">
        <f>IF($C282="","",IFERROR(LOOKUP(2,1/((Reconhecimento!$A$5:$A$310&lt;&gt;"")*ISNUMBER(SEARCH(" "&amp;Reconhecimento!$A$5:$A$310," "&amp;$C282))),Reconhecimento!$C$5:$C$310),"—"))</f>
        <v/>
      </c>
      <c r="I282" s="15">
        <f>IF($C282="","",IFERROR(VLOOKUP($G282,Tipos!$A$5:$B$51,2,FALSE),"—"))</f>
        <v/>
      </c>
      <c r="J282" s="15">
        <f>IF(COUNTA($A282:$C282)=0,"",IF($A282="","Falta a Área",IF($B282="","Falta o Setor",IF($C282="","Falta o nome",IF(COUNTIF($C$6:$C$403,$C282)&gt;1,"Nome repetido: use 01, 02… ou a Qtd",IF(LEFT($G282,7)="Confira","Confira o tipo na importação","OK"))))))</f>
        <v/>
      </c>
    </row>
    <row r="283">
      <c r="A283" s="16" t="n"/>
      <c r="B283" s="16" t="n"/>
      <c r="C283" s="16" t="n"/>
      <c r="D283" s="16" t="n"/>
      <c r="E283" s="17" t="n"/>
      <c r="F283" s="16" t="n"/>
      <c r="G283" s="15">
        <f>IF($C283="","",IFERROR(LOOKUP(2,1/((Reconhecimento!$A$5:$A$310&lt;&gt;"")*ISNUMBER(SEARCH(" "&amp;Reconhecimento!$A$5:$A$310," "&amp;$C283))),Reconhecimento!$B$5:$B$310),"Confira: escolha na importação"))</f>
        <v/>
      </c>
      <c r="H283" s="15">
        <f>IF($C283="","",IFERROR(LOOKUP(2,1/((Reconhecimento!$A$5:$A$310&lt;&gt;"")*ISNUMBER(SEARCH(" "&amp;Reconhecimento!$A$5:$A$310," "&amp;$C283))),Reconhecimento!$C$5:$C$310),"—"))</f>
        <v/>
      </c>
      <c r="I283" s="15">
        <f>IF($C283="","",IFERROR(VLOOKUP($G283,Tipos!$A$5:$B$51,2,FALSE),"—"))</f>
        <v/>
      </c>
      <c r="J283" s="15">
        <f>IF(COUNTA($A283:$C283)=0,"",IF($A283="","Falta a Área",IF($B283="","Falta o Setor",IF($C283="","Falta o nome",IF(COUNTIF($C$6:$C$403,$C283)&gt;1,"Nome repetido: use 01, 02… ou a Qtd",IF(LEFT($G283,7)="Confira","Confira o tipo na importação","OK"))))))</f>
        <v/>
      </c>
    </row>
    <row r="284">
      <c r="A284" s="16" t="n"/>
      <c r="B284" s="16" t="n"/>
      <c r="C284" s="16" t="n"/>
      <c r="D284" s="16" t="n"/>
      <c r="E284" s="17" t="n"/>
      <c r="F284" s="16" t="n"/>
      <c r="G284" s="15">
        <f>IF($C284="","",IFERROR(LOOKUP(2,1/((Reconhecimento!$A$5:$A$310&lt;&gt;"")*ISNUMBER(SEARCH(" "&amp;Reconhecimento!$A$5:$A$310," "&amp;$C284))),Reconhecimento!$B$5:$B$310),"Confira: escolha na importação"))</f>
        <v/>
      </c>
      <c r="H284" s="15">
        <f>IF($C284="","",IFERROR(LOOKUP(2,1/((Reconhecimento!$A$5:$A$310&lt;&gt;"")*ISNUMBER(SEARCH(" "&amp;Reconhecimento!$A$5:$A$310," "&amp;$C284))),Reconhecimento!$C$5:$C$310),"—"))</f>
        <v/>
      </c>
      <c r="I284" s="15">
        <f>IF($C284="","",IFERROR(VLOOKUP($G284,Tipos!$A$5:$B$51,2,FALSE),"—"))</f>
        <v/>
      </c>
      <c r="J284" s="15">
        <f>IF(COUNTA($A284:$C284)=0,"",IF($A284="","Falta a Área",IF($B284="","Falta o Setor",IF($C284="","Falta o nome",IF(COUNTIF($C$6:$C$403,$C284)&gt;1,"Nome repetido: use 01, 02… ou a Qtd",IF(LEFT($G284,7)="Confira","Confira o tipo na importação","OK"))))))</f>
        <v/>
      </c>
    </row>
    <row r="285">
      <c r="A285" s="16" t="n"/>
      <c r="B285" s="16" t="n"/>
      <c r="C285" s="16" t="n"/>
      <c r="D285" s="16" t="n"/>
      <c r="E285" s="17" t="n"/>
      <c r="F285" s="16" t="n"/>
      <c r="G285" s="15">
        <f>IF($C285="","",IFERROR(LOOKUP(2,1/((Reconhecimento!$A$5:$A$310&lt;&gt;"")*ISNUMBER(SEARCH(" "&amp;Reconhecimento!$A$5:$A$310," "&amp;$C285))),Reconhecimento!$B$5:$B$310),"Confira: escolha na importação"))</f>
        <v/>
      </c>
      <c r="H285" s="15">
        <f>IF($C285="","",IFERROR(LOOKUP(2,1/((Reconhecimento!$A$5:$A$310&lt;&gt;"")*ISNUMBER(SEARCH(" "&amp;Reconhecimento!$A$5:$A$310," "&amp;$C285))),Reconhecimento!$C$5:$C$310),"—"))</f>
        <v/>
      </c>
      <c r="I285" s="15">
        <f>IF($C285="","",IFERROR(VLOOKUP($G285,Tipos!$A$5:$B$51,2,FALSE),"—"))</f>
        <v/>
      </c>
      <c r="J285" s="15">
        <f>IF(COUNTA($A285:$C285)=0,"",IF($A285="","Falta a Área",IF($B285="","Falta o Setor",IF($C285="","Falta o nome",IF(COUNTIF($C$6:$C$403,$C285)&gt;1,"Nome repetido: use 01, 02… ou a Qtd",IF(LEFT($G285,7)="Confira","Confira o tipo na importação","OK"))))))</f>
        <v/>
      </c>
    </row>
    <row r="286">
      <c r="A286" s="16" t="n"/>
      <c r="B286" s="16" t="n"/>
      <c r="C286" s="16" t="n"/>
      <c r="D286" s="16" t="n"/>
      <c r="E286" s="17" t="n"/>
      <c r="F286" s="16" t="n"/>
      <c r="G286" s="15">
        <f>IF($C286="","",IFERROR(LOOKUP(2,1/((Reconhecimento!$A$5:$A$310&lt;&gt;"")*ISNUMBER(SEARCH(" "&amp;Reconhecimento!$A$5:$A$310," "&amp;$C286))),Reconhecimento!$B$5:$B$310),"Confira: escolha na importação"))</f>
        <v/>
      </c>
      <c r="H286" s="15">
        <f>IF($C286="","",IFERROR(LOOKUP(2,1/((Reconhecimento!$A$5:$A$310&lt;&gt;"")*ISNUMBER(SEARCH(" "&amp;Reconhecimento!$A$5:$A$310," "&amp;$C286))),Reconhecimento!$C$5:$C$310),"—"))</f>
        <v/>
      </c>
      <c r="I286" s="15">
        <f>IF($C286="","",IFERROR(VLOOKUP($G286,Tipos!$A$5:$B$51,2,FALSE),"—"))</f>
        <v/>
      </c>
      <c r="J286" s="15">
        <f>IF(COUNTA($A286:$C286)=0,"",IF($A286="","Falta a Área",IF($B286="","Falta o Setor",IF($C286="","Falta o nome",IF(COUNTIF($C$6:$C$403,$C286)&gt;1,"Nome repetido: use 01, 02… ou a Qtd",IF(LEFT($G286,7)="Confira","Confira o tipo na importação","OK"))))))</f>
        <v/>
      </c>
    </row>
    <row r="287">
      <c r="A287" s="16" t="n"/>
      <c r="B287" s="16" t="n"/>
      <c r="C287" s="16" t="n"/>
      <c r="D287" s="16" t="n"/>
      <c r="E287" s="17" t="n"/>
      <c r="F287" s="16" t="n"/>
      <c r="G287" s="15">
        <f>IF($C287="","",IFERROR(LOOKUP(2,1/((Reconhecimento!$A$5:$A$310&lt;&gt;"")*ISNUMBER(SEARCH(" "&amp;Reconhecimento!$A$5:$A$310," "&amp;$C287))),Reconhecimento!$B$5:$B$310),"Confira: escolha na importação"))</f>
        <v/>
      </c>
      <c r="H287" s="15">
        <f>IF($C287="","",IFERROR(LOOKUP(2,1/((Reconhecimento!$A$5:$A$310&lt;&gt;"")*ISNUMBER(SEARCH(" "&amp;Reconhecimento!$A$5:$A$310," "&amp;$C287))),Reconhecimento!$C$5:$C$310),"—"))</f>
        <v/>
      </c>
      <c r="I287" s="15">
        <f>IF($C287="","",IFERROR(VLOOKUP($G287,Tipos!$A$5:$B$51,2,FALSE),"—"))</f>
        <v/>
      </c>
      <c r="J287" s="15">
        <f>IF(COUNTA($A287:$C287)=0,"",IF($A287="","Falta a Área",IF($B287="","Falta o Setor",IF($C287="","Falta o nome",IF(COUNTIF($C$6:$C$403,$C287)&gt;1,"Nome repetido: use 01, 02… ou a Qtd",IF(LEFT($G287,7)="Confira","Confira o tipo na importação","OK"))))))</f>
        <v/>
      </c>
    </row>
    <row r="288">
      <c r="A288" s="16" t="n"/>
      <c r="B288" s="16" t="n"/>
      <c r="C288" s="16" t="n"/>
      <c r="D288" s="16" t="n"/>
      <c r="E288" s="17" t="n"/>
      <c r="F288" s="16" t="n"/>
      <c r="G288" s="15">
        <f>IF($C288="","",IFERROR(LOOKUP(2,1/((Reconhecimento!$A$5:$A$310&lt;&gt;"")*ISNUMBER(SEARCH(" "&amp;Reconhecimento!$A$5:$A$310," "&amp;$C288))),Reconhecimento!$B$5:$B$310),"Confira: escolha na importação"))</f>
        <v/>
      </c>
      <c r="H288" s="15">
        <f>IF($C288="","",IFERROR(LOOKUP(2,1/((Reconhecimento!$A$5:$A$310&lt;&gt;"")*ISNUMBER(SEARCH(" "&amp;Reconhecimento!$A$5:$A$310," "&amp;$C288))),Reconhecimento!$C$5:$C$310),"—"))</f>
        <v/>
      </c>
      <c r="I288" s="15">
        <f>IF($C288="","",IFERROR(VLOOKUP($G288,Tipos!$A$5:$B$51,2,FALSE),"—"))</f>
        <v/>
      </c>
      <c r="J288" s="15">
        <f>IF(COUNTA($A288:$C288)=0,"",IF($A288="","Falta a Área",IF($B288="","Falta o Setor",IF($C288="","Falta o nome",IF(COUNTIF($C$6:$C$403,$C288)&gt;1,"Nome repetido: use 01, 02… ou a Qtd",IF(LEFT($G288,7)="Confira","Confira o tipo na importação","OK"))))))</f>
        <v/>
      </c>
    </row>
    <row r="289">
      <c r="A289" s="16" t="n"/>
      <c r="B289" s="16" t="n"/>
      <c r="C289" s="16" t="n"/>
      <c r="D289" s="16" t="n"/>
      <c r="E289" s="17" t="n"/>
      <c r="F289" s="16" t="n"/>
      <c r="G289" s="15">
        <f>IF($C289="","",IFERROR(LOOKUP(2,1/((Reconhecimento!$A$5:$A$310&lt;&gt;"")*ISNUMBER(SEARCH(" "&amp;Reconhecimento!$A$5:$A$310," "&amp;$C289))),Reconhecimento!$B$5:$B$310),"Confira: escolha na importação"))</f>
        <v/>
      </c>
      <c r="H289" s="15">
        <f>IF($C289="","",IFERROR(LOOKUP(2,1/((Reconhecimento!$A$5:$A$310&lt;&gt;"")*ISNUMBER(SEARCH(" "&amp;Reconhecimento!$A$5:$A$310," "&amp;$C289))),Reconhecimento!$C$5:$C$310),"—"))</f>
        <v/>
      </c>
      <c r="I289" s="15">
        <f>IF($C289="","",IFERROR(VLOOKUP($G289,Tipos!$A$5:$B$51,2,FALSE),"—"))</f>
        <v/>
      </c>
      <c r="J289" s="15">
        <f>IF(COUNTA($A289:$C289)=0,"",IF($A289="","Falta a Área",IF($B289="","Falta o Setor",IF($C289="","Falta o nome",IF(COUNTIF($C$6:$C$403,$C289)&gt;1,"Nome repetido: use 01, 02… ou a Qtd",IF(LEFT($G289,7)="Confira","Confira o tipo na importação","OK"))))))</f>
        <v/>
      </c>
    </row>
    <row r="290">
      <c r="A290" s="16" t="n"/>
      <c r="B290" s="16" t="n"/>
      <c r="C290" s="16" t="n"/>
      <c r="D290" s="16" t="n"/>
      <c r="E290" s="17" t="n"/>
      <c r="F290" s="16" t="n"/>
      <c r="G290" s="15">
        <f>IF($C290="","",IFERROR(LOOKUP(2,1/((Reconhecimento!$A$5:$A$310&lt;&gt;"")*ISNUMBER(SEARCH(" "&amp;Reconhecimento!$A$5:$A$310," "&amp;$C290))),Reconhecimento!$B$5:$B$310),"Confira: escolha na importação"))</f>
        <v/>
      </c>
      <c r="H290" s="15">
        <f>IF($C290="","",IFERROR(LOOKUP(2,1/((Reconhecimento!$A$5:$A$310&lt;&gt;"")*ISNUMBER(SEARCH(" "&amp;Reconhecimento!$A$5:$A$310," "&amp;$C290))),Reconhecimento!$C$5:$C$310),"—"))</f>
        <v/>
      </c>
      <c r="I290" s="15">
        <f>IF($C290="","",IFERROR(VLOOKUP($G290,Tipos!$A$5:$B$51,2,FALSE),"—"))</f>
        <v/>
      </c>
      <c r="J290" s="15">
        <f>IF(COUNTA($A290:$C290)=0,"",IF($A290="","Falta a Área",IF($B290="","Falta o Setor",IF($C290="","Falta o nome",IF(COUNTIF($C$6:$C$403,$C290)&gt;1,"Nome repetido: use 01, 02… ou a Qtd",IF(LEFT($G290,7)="Confira","Confira o tipo na importação","OK"))))))</f>
        <v/>
      </c>
    </row>
    <row r="291">
      <c r="A291" s="16" t="n"/>
      <c r="B291" s="16" t="n"/>
      <c r="C291" s="16" t="n"/>
      <c r="D291" s="16" t="n"/>
      <c r="E291" s="17" t="n"/>
      <c r="F291" s="16" t="n"/>
      <c r="G291" s="15">
        <f>IF($C291="","",IFERROR(LOOKUP(2,1/((Reconhecimento!$A$5:$A$310&lt;&gt;"")*ISNUMBER(SEARCH(" "&amp;Reconhecimento!$A$5:$A$310," "&amp;$C291))),Reconhecimento!$B$5:$B$310),"Confira: escolha na importação"))</f>
        <v/>
      </c>
      <c r="H291" s="15">
        <f>IF($C291="","",IFERROR(LOOKUP(2,1/((Reconhecimento!$A$5:$A$310&lt;&gt;"")*ISNUMBER(SEARCH(" "&amp;Reconhecimento!$A$5:$A$310," "&amp;$C291))),Reconhecimento!$C$5:$C$310),"—"))</f>
        <v/>
      </c>
      <c r="I291" s="15">
        <f>IF($C291="","",IFERROR(VLOOKUP($G291,Tipos!$A$5:$B$51,2,FALSE),"—"))</f>
        <v/>
      </c>
      <c r="J291" s="15">
        <f>IF(COUNTA($A291:$C291)=0,"",IF($A291="","Falta a Área",IF($B291="","Falta o Setor",IF($C291="","Falta o nome",IF(COUNTIF($C$6:$C$403,$C291)&gt;1,"Nome repetido: use 01, 02… ou a Qtd",IF(LEFT($G291,7)="Confira","Confira o tipo na importação","OK"))))))</f>
        <v/>
      </c>
    </row>
    <row r="292">
      <c r="A292" s="16" t="n"/>
      <c r="B292" s="16" t="n"/>
      <c r="C292" s="16" t="n"/>
      <c r="D292" s="16" t="n"/>
      <c r="E292" s="17" t="n"/>
      <c r="F292" s="16" t="n"/>
      <c r="G292" s="15">
        <f>IF($C292="","",IFERROR(LOOKUP(2,1/((Reconhecimento!$A$5:$A$310&lt;&gt;"")*ISNUMBER(SEARCH(" "&amp;Reconhecimento!$A$5:$A$310," "&amp;$C292))),Reconhecimento!$B$5:$B$310),"Confira: escolha na importação"))</f>
        <v/>
      </c>
      <c r="H292" s="15">
        <f>IF($C292="","",IFERROR(LOOKUP(2,1/((Reconhecimento!$A$5:$A$310&lt;&gt;"")*ISNUMBER(SEARCH(" "&amp;Reconhecimento!$A$5:$A$310," "&amp;$C292))),Reconhecimento!$C$5:$C$310),"—"))</f>
        <v/>
      </c>
      <c r="I292" s="15">
        <f>IF($C292="","",IFERROR(VLOOKUP($G292,Tipos!$A$5:$B$51,2,FALSE),"—"))</f>
        <v/>
      </c>
      <c r="J292" s="15">
        <f>IF(COUNTA($A292:$C292)=0,"",IF($A292="","Falta a Área",IF($B292="","Falta o Setor",IF($C292="","Falta o nome",IF(COUNTIF($C$6:$C$403,$C292)&gt;1,"Nome repetido: use 01, 02… ou a Qtd",IF(LEFT($G292,7)="Confira","Confira o tipo na importação","OK"))))))</f>
        <v/>
      </c>
    </row>
    <row r="293">
      <c r="A293" s="16" t="n"/>
      <c r="B293" s="16" t="n"/>
      <c r="C293" s="16" t="n"/>
      <c r="D293" s="16" t="n"/>
      <c r="E293" s="17" t="n"/>
      <c r="F293" s="16" t="n"/>
      <c r="G293" s="15">
        <f>IF($C293="","",IFERROR(LOOKUP(2,1/((Reconhecimento!$A$5:$A$310&lt;&gt;"")*ISNUMBER(SEARCH(" "&amp;Reconhecimento!$A$5:$A$310," "&amp;$C293))),Reconhecimento!$B$5:$B$310),"Confira: escolha na importação"))</f>
        <v/>
      </c>
      <c r="H293" s="15">
        <f>IF($C293="","",IFERROR(LOOKUP(2,1/((Reconhecimento!$A$5:$A$310&lt;&gt;"")*ISNUMBER(SEARCH(" "&amp;Reconhecimento!$A$5:$A$310," "&amp;$C293))),Reconhecimento!$C$5:$C$310),"—"))</f>
        <v/>
      </c>
      <c r="I293" s="15">
        <f>IF($C293="","",IFERROR(VLOOKUP($G293,Tipos!$A$5:$B$51,2,FALSE),"—"))</f>
        <v/>
      </c>
      <c r="J293" s="15">
        <f>IF(COUNTA($A293:$C293)=0,"",IF($A293="","Falta a Área",IF($B293="","Falta o Setor",IF($C293="","Falta o nome",IF(COUNTIF($C$6:$C$403,$C293)&gt;1,"Nome repetido: use 01, 02… ou a Qtd",IF(LEFT($G293,7)="Confira","Confira o tipo na importação","OK"))))))</f>
        <v/>
      </c>
    </row>
    <row r="294">
      <c r="A294" s="16" t="n"/>
      <c r="B294" s="16" t="n"/>
      <c r="C294" s="16" t="n"/>
      <c r="D294" s="16" t="n"/>
      <c r="E294" s="17" t="n"/>
      <c r="F294" s="16" t="n"/>
      <c r="G294" s="15">
        <f>IF($C294="","",IFERROR(LOOKUP(2,1/((Reconhecimento!$A$5:$A$310&lt;&gt;"")*ISNUMBER(SEARCH(" "&amp;Reconhecimento!$A$5:$A$310," "&amp;$C294))),Reconhecimento!$B$5:$B$310),"Confira: escolha na importação"))</f>
        <v/>
      </c>
      <c r="H294" s="15">
        <f>IF($C294="","",IFERROR(LOOKUP(2,1/((Reconhecimento!$A$5:$A$310&lt;&gt;"")*ISNUMBER(SEARCH(" "&amp;Reconhecimento!$A$5:$A$310," "&amp;$C294))),Reconhecimento!$C$5:$C$310),"—"))</f>
        <v/>
      </c>
      <c r="I294" s="15">
        <f>IF($C294="","",IFERROR(VLOOKUP($G294,Tipos!$A$5:$B$51,2,FALSE),"—"))</f>
        <v/>
      </c>
      <c r="J294" s="15">
        <f>IF(COUNTA($A294:$C294)=0,"",IF($A294="","Falta a Área",IF($B294="","Falta o Setor",IF($C294="","Falta o nome",IF(COUNTIF($C$6:$C$403,$C294)&gt;1,"Nome repetido: use 01, 02… ou a Qtd",IF(LEFT($G294,7)="Confira","Confira o tipo na importação","OK"))))))</f>
        <v/>
      </c>
    </row>
    <row r="295">
      <c r="A295" s="16" t="n"/>
      <c r="B295" s="16" t="n"/>
      <c r="C295" s="16" t="n"/>
      <c r="D295" s="16" t="n"/>
      <c r="E295" s="17" t="n"/>
      <c r="F295" s="16" t="n"/>
      <c r="G295" s="15">
        <f>IF($C295="","",IFERROR(LOOKUP(2,1/((Reconhecimento!$A$5:$A$310&lt;&gt;"")*ISNUMBER(SEARCH(" "&amp;Reconhecimento!$A$5:$A$310," "&amp;$C295))),Reconhecimento!$B$5:$B$310),"Confira: escolha na importação"))</f>
        <v/>
      </c>
      <c r="H295" s="15">
        <f>IF($C295="","",IFERROR(LOOKUP(2,1/((Reconhecimento!$A$5:$A$310&lt;&gt;"")*ISNUMBER(SEARCH(" "&amp;Reconhecimento!$A$5:$A$310," "&amp;$C295))),Reconhecimento!$C$5:$C$310),"—"))</f>
        <v/>
      </c>
      <c r="I295" s="15">
        <f>IF($C295="","",IFERROR(VLOOKUP($G295,Tipos!$A$5:$B$51,2,FALSE),"—"))</f>
        <v/>
      </c>
      <c r="J295" s="15">
        <f>IF(COUNTA($A295:$C295)=0,"",IF($A295="","Falta a Área",IF($B295="","Falta o Setor",IF($C295="","Falta o nome",IF(COUNTIF($C$6:$C$403,$C295)&gt;1,"Nome repetido: use 01, 02… ou a Qtd",IF(LEFT($G295,7)="Confira","Confira o tipo na importação","OK"))))))</f>
        <v/>
      </c>
    </row>
    <row r="296">
      <c r="A296" s="16" t="n"/>
      <c r="B296" s="16" t="n"/>
      <c r="C296" s="16" t="n"/>
      <c r="D296" s="16" t="n"/>
      <c r="E296" s="17" t="n"/>
      <c r="F296" s="16" t="n"/>
      <c r="G296" s="15">
        <f>IF($C296="","",IFERROR(LOOKUP(2,1/((Reconhecimento!$A$5:$A$310&lt;&gt;"")*ISNUMBER(SEARCH(" "&amp;Reconhecimento!$A$5:$A$310," "&amp;$C296))),Reconhecimento!$B$5:$B$310),"Confira: escolha na importação"))</f>
        <v/>
      </c>
      <c r="H296" s="15">
        <f>IF($C296="","",IFERROR(LOOKUP(2,1/((Reconhecimento!$A$5:$A$310&lt;&gt;"")*ISNUMBER(SEARCH(" "&amp;Reconhecimento!$A$5:$A$310," "&amp;$C296))),Reconhecimento!$C$5:$C$310),"—"))</f>
        <v/>
      </c>
      <c r="I296" s="15">
        <f>IF($C296="","",IFERROR(VLOOKUP($G296,Tipos!$A$5:$B$51,2,FALSE),"—"))</f>
        <v/>
      </c>
      <c r="J296" s="15">
        <f>IF(COUNTA($A296:$C296)=0,"",IF($A296="","Falta a Área",IF($B296="","Falta o Setor",IF($C296="","Falta o nome",IF(COUNTIF($C$6:$C$403,$C296)&gt;1,"Nome repetido: use 01, 02… ou a Qtd",IF(LEFT($G296,7)="Confira","Confira o tipo na importação","OK"))))))</f>
        <v/>
      </c>
    </row>
    <row r="297">
      <c r="A297" s="16" t="n"/>
      <c r="B297" s="16" t="n"/>
      <c r="C297" s="16" t="n"/>
      <c r="D297" s="16" t="n"/>
      <c r="E297" s="17" t="n"/>
      <c r="F297" s="16" t="n"/>
      <c r="G297" s="15">
        <f>IF($C297="","",IFERROR(LOOKUP(2,1/((Reconhecimento!$A$5:$A$310&lt;&gt;"")*ISNUMBER(SEARCH(" "&amp;Reconhecimento!$A$5:$A$310," "&amp;$C297))),Reconhecimento!$B$5:$B$310),"Confira: escolha na importação"))</f>
        <v/>
      </c>
      <c r="H297" s="15">
        <f>IF($C297="","",IFERROR(LOOKUP(2,1/((Reconhecimento!$A$5:$A$310&lt;&gt;"")*ISNUMBER(SEARCH(" "&amp;Reconhecimento!$A$5:$A$310," "&amp;$C297))),Reconhecimento!$C$5:$C$310),"—"))</f>
        <v/>
      </c>
      <c r="I297" s="15">
        <f>IF($C297="","",IFERROR(VLOOKUP($G297,Tipos!$A$5:$B$51,2,FALSE),"—"))</f>
        <v/>
      </c>
      <c r="J297" s="15">
        <f>IF(COUNTA($A297:$C297)=0,"",IF($A297="","Falta a Área",IF($B297="","Falta o Setor",IF($C297="","Falta o nome",IF(COUNTIF($C$6:$C$403,$C297)&gt;1,"Nome repetido: use 01, 02… ou a Qtd",IF(LEFT($G297,7)="Confira","Confira o tipo na importação","OK"))))))</f>
        <v/>
      </c>
    </row>
    <row r="298">
      <c r="A298" s="16" t="n"/>
      <c r="B298" s="16" t="n"/>
      <c r="C298" s="16" t="n"/>
      <c r="D298" s="16" t="n"/>
      <c r="E298" s="17" t="n"/>
      <c r="F298" s="16" t="n"/>
      <c r="G298" s="15">
        <f>IF($C298="","",IFERROR(LOOKUP(2,1/((Reconhecimento!$A$5:$A$310&lt;&gt;"")*ISNUMBER(SEARCH(" "&amp;Reconhecimento!$A$5:$A$310," "&amp;$C298))),Reconhecimento!$B$5:$B$310),"Confira: escolha na importação"))</f>
        <v/>
      </c>
      <c r="H298" s="15">
        <f>IF($C298="","",IFERROR(LOOKUP(2,1/((Reconhecimento!$A$5:$A$310&lt;&gt;"")*ISNUMBER(SEARCH(" "&amp;Reconhecimento!$A$5:$A$310," "&amp;$C298))),Reconhecimento!$C$5:$C$310),"—"))</f>
        <v/>
      </c>
      <c r="I298" s="15">
        <f>IF($C298="","",IFERROR(VLOOKUP($G298,Tipos!$A$5:$B$51,2,FALSE),"—"))</f>
        <v/>
      </c>
      <c r="J298" s="15">
        <f>IF(COUNTA($A298:$C298)=0,"",IF($A298="","Falta a Área",IF($B298="","Falta o Setor",IF($C298="","Falta o nome",IF(COUNTIF($C$6:$C$403,$C298)&gt;1,"Nome repetido: use 01, 02… ou a Qtd",IF(LEFT($G298,7)="Confira","Confira o tipo na importação","OK"))))))</f>
        <v/>
      </c>
    </row>
    <row r="299">
      <c r="A299" s="16" t="n"/>
      <c r="B299" s="16" t="n"/>
      <c r="C299" s="16" t="n"/>
      <c r="D299" s="16" t="n"/>
      <c r="E299" s="17" t="n"/>
      <c r="F299" s="16" t="n"/>
      <c r="G299" s="15">
        <f>IF($C299="","",IFERROR(LOOKUP(2,1/((Reconhecimento!$A$5:$A$310&lt;&gt;"")*ISNUMBER(SEARCH(" "&amp;Reconhecimento!$A$5:$A$310," "&amp;$C299))),Reconhecimento!$B$5:$B$310),"Confira: escolha na importação"))</f>
        <v/>
      </c>
      <c r="H299" s="15">
        <f>IF($C299="","",IFERROR(LOOKUP(2,1/((Reconhecimento!$A$5:$A$310&lt;&gt;"")*ISNUMBER(SEARCH(" "&amp;Reconhecimento!$A$5:$A$310," "&amp;$C299))),Reconhecimento!$C$5:$C$310),"—"))</f>
        <v/>
      </c>
      <c r="I299" s="15">
        <f>IF($C299="","",IFERROR(VLOOKUP($G299,Tipos!$A$5:$B$51,2,FALSE),"—"))</f>
        <v/>
      </c>
      <c r="J299" s="15">
        <f>IF(COUNTA($A299:$C299)=0,"",IF($A299="","Falta a Área",IF($B299="","Falta o Setor",IF($C299="","Falta o nome",IF(COUNTIF($C$6:$C$403,$C299)&gt;1,"Nome repetido: use 01, 02… ou a Qtd",IF(LEFT($G299,7)="Confira","Confira o tipo na importação","OK"))))))</f>
        <v/>
      </c>
    </row>
    <row r="300">
      <c r="A300" s="16" t="n"/>
      <c r="B300" s="16" t="n"/>
      <c r="C300" s="16" t="n"/>
      <c r="D300" s="16" t="n"/>
      <c r="E300" s="17" t="n"/>
      <c r="F300" s="16" t="n"/>
      <c r="G300" s="15">
        <f>IF($C300="","",IFERROR(LOOKUP(2,1/((Reconhecimento!$A$5:$A$310&lt;&gt;"")*ISNUMBER(SEARCH(" "&amp;Reconhecimento!$A$5:$A$310," "&amp;$C300))),Reconhecimento!$B$5:$B$310),"Confira: escolha na importação"))</f>
        <v/>
      </c>
      <c r="H300" s="15">
        <f>IF($C300="","",IFERROR(LOOKUP(2,1/((Reconhecimento!$A$5:$A$310&lt;&gt;"")*ISNUMBER(SEARCH(" "&amp;Reconhecimento!$A$5:$A$310," "&amp;$C300))),Reconhecimento!$C$5:$C$310),"—"))</f>
        <v/>
      </c>
      <c r="I300" s="15">
        <f>IF($C300="","",IFERROR(VLOOKUP($G300,Tipos!$A$5:$B$51,2,FALSE),"—"))</f>
        <v/>
      </c>
      <c r="J300" s="15">
        <f>IF(COUNTA($A300:$C300)=0,"",IF($A300="","Falta a Área",IF($B300="","Falta o Setor",IF($C300="","Falta o nome",IF(COUNTIF($C$6:$C$403,$C300)&gt;1,"Nome repetido: use 01, 02… ou a Qtd",IF(LEFT($G300,7)="Confira","Confira o tipo na importação","OK"))))))</f>
        <v/>
      </c>
    </row>
    <row r="301">
      <c r="A301" s="16" t="n"/>
      <c r="B301" s="16" t="n"/>
      <c r="C301" s="16" t="n"/>
      <c r="D301" s="16" t="n"/>
      <c r="E301" s="17" t="n"/>
      <c r="F301" s="16" t="n"/>
      <c r="G301" s="15">
        <f>IF($C301="","",IFERROR(LOOKUP(2,1/((Reconhecimento!$A$5:$A$310&lt;&gt;"")*ISNUMBER(SEARCH(" "&amp;Reconhecimento!$A$5:$A$310," "&amp;$C301))),Reconhecimento!$B$5:$B$310),"Confira: escolha na importação"))</f>
        <v/>
      </c>
      <c r="H301" s="15">
        <f>IF($C301="","",IFERROR(LOOKUP(2,1/((Reconhecimento!$A$5:$A$310&lt;&gt;"")*ISNUMBER(SEARCH(" "&amp;Reconhecimento!$A$5:$A$310," "&amp;$C301))),Reconhecimento!$C$5:$C$310),"—"))</f>
        <v/>
      </c>
      <c r="I301" s="15">
        <f>IF($C301="","",IFERROR(VLOOKUP($G301,Tipos!$A$5:$B$51,2,FALSE),"—"))</f>
        <v/>
      </c>
      <c r="J301" s="15">
        <f>IF(COUNTA($A301:$C301)=0,"",IF($A301="","Falta a Área",IF($B301="","Falta o Setor",IF($C301="","Falta o nome",IF(COUNTIF($C$6:$C$403,$C301)&gt;1,"Nome repetido: use 01, 02… ou a Qtd",IF(LEFT($G301,7)="Confira","Confira o tipo na importação","OK"))))))</f>
        <v/>
      </c>
    </row>
    <row r="302">
      <c r="A302" s="16" t="n"/>
      <c r="B302" s="16" t="n"/>
      <c r="C302" s="16" t="n"/>
      <c r="D302" s="16" t="n"/>
      <c r="E302" s="17" t="n"/>
      <c r="F302" s="16" t="n"/>
      <c r="G302" s="15">
        <f>IF($C302="","",IFERROR(LOOKUP(2,1/((Reconhecimento!$A$5:$A$310&lt;&gt;"")*ISNUMBER(SEARCH(" "&amp;Reconhecimento!$A$5:$A$310," "&amp;$C302))),Reconhecimento!$B$5:$B$310),"Confira: escolha na importação"))</f>
        <v/>
      </c>
      <c r="H302" s="15">
        <f>IF($C302="","",IFERROR(LOOKUP(2,1/((Reconhecimento!$A$5:$A$310&lt;&gt;"")*ISNUMBER(SEARCH(" "&amp;Reconhecimento!$A$5:$A$310," "&amp;$C302))),Reconhecimento!$C$5:$C$310),"—"))</f>
        <v/>
      </c>
      <c r="I302" s="15">
        <f>IF($C302="","",IFERROR(VLOOKUP($G302,Tipos!$A$5:$B$51,2,FALSE),"—"))</f>
        <v/>
      </c>
      <c r="J302" s="15">
        <f>IF(COUNTA($A302:$C302)=0,"",IF($A302="","Falta a Área",IF($B302="","Falta o Setor",IF($C302="","Falta o nome",IF(COUNTIF($C$6:$C$403,$C302)&gt;1,"Nome repetido: use 01, 02… ou a Qtd",IF(LEFT($G302,7)="Confira","Confira o tipo na importação","OK"))))))</f>
        <v/>
      </c>
    </row>
    <row r="303">
      <c r="A303" s="16" t="n"/>
      <c r="B303" s="16" t="n"/>
      <c r="C303" s="16" t="n"/>
      <c r="D303" s="16" t="n"/>
      <c r="E303" s="17" t="n"/>
      <c r="F303" s="16" t="n"/>
      <c r="G303" s="15">
        <f>IF($C303="","",IFERROR(LOOKUP(2,1/((Reconhecimento!$A$5:$A$310&lt;&gt;"")*ISNUMBER(SEARCH(" "&amp;Reconhecimento!$A$5:$A$310," "&amp;$C303))),Reconhecimento!$B$5:$B$310),"Confira: escolha na importação"))</f>
        <v/>
      </c>
      <c r="H303" s="15">
        <f>IF($C303="","",IFERROR(LOOKUP(2,1/((Reconhecimento!$A$5:$A$310&lt;&gt;"")*ISNUMBER(SEARCH(" "&amp;Reconhecimento!$A$5:$A$310," "&amp;$C303))),Reconhecimento!$C$5:$C$310),"—"))</f>
        <v/>
      </c>
      <c r="I303" s="15">
        <f>IF($C303="","",IFERROR(VLOOKUP($G303,Tipos!$A$5:$B$51,2,FALSE),"—"))</f>
        <v/>
      </c>
      <c r="J303" s="15">
        <f>IF(COUNTA($A303:$C303)=0,"",IF($A303="","Falta a Área",IF($B303="","Falta o Setor",IF($C303="","Falta o nome",IF(COUNTIF($C$6:$C$403,$C303)&gt;1,"Nome repetido: use 01, 02… ou a Qtd",IF(LEFT($G303,7)="Confira","Confira o tipo na importação","OK"))))))</f>
        <v/>
      </c>
    </row>
    <row r="304">
      <c r="A304" s="16" t="n"/>
      <c r="B304" s="16" t="n"/>
      <c r="C304" s="16" t="n"/>
      <c r="D304" s="16" t="n"/>
      <c r="E304" s="17" t="n"/>
      <c r="F304" s="16" t="n"/>
      <c r="G304" s="15">
        <f>IF($C304="","",IFERROR(LOOKUP(2,1/((Reconhecimento!$A$5:$A$310&lt;&gt;"")*ISNUMBER(SEARCH(" "&amp;Reconhecimento!$A$5:$A$310," "&amp;$C304))),Reconhecimento!$B$5:$B$310),"Confira: escolha na importação"))</f>
        <v/>
      </c>
      <c r="H304" s="15">
        <f>IF($C304="","",IFERROR(LOOKUP(2,1/((Reconhecimento!$A$5:$A$310&lt;&gt;"")*ISNUMBER(SEARCH(" "&amp;Reconhecimento!$A$5:$A$310," "&amp;$C304))),Reconhecimento!$C$5:$C$310),"—"))</f>
        <v/>
      </c>
      <c r="I304" s="15">
        <f>IF($C304="","",IFERROR(VLOOKUP($G304,Tipos!$A$5:$B$51,2,FALSE),"—"))</f>
        <v/>
      </c>
      <c r="J304" s="15">
        <f>IF(COUNTA($A304:$C304)=0,"",IF($A304="","Falta a Área",IF($B304="","Falta o Setor",IF($C304="","Falta o nome",IF(COUNTIF($C$6:$C$403,$C304)&gt;1,"Nome repetido: use 01, 02… ou a Qtd",IF(LEFT($G304,7)="Confira","Confira o tipo na importação","OK"))))))</f>
        <v/>
      </c>
    </row>
    <row r="305">
      <c r="A305" s="16" t="n"/>
      <c r="B305" s="16" t="n"/>
      <c r="C305" s="16" t="n"/>
      <c r="D305" s="16" t="n"/>
      <c r="E305" s="17" t="n"/>
      <c r="F305" s="16" t="n"/>
      <c r="G305" s="15">
        <f>IF($C305="","",IFERROR(LOOKUP(2,1/((Reconhecimento!$A$5:$A$310&lt;&gt;"")*ISNUMBER(SEARCH(" "&amp;Reconhecimento!$A$5:$A$310," "&amp;$C305))),Reconhecimento!$B$5:$B$310),"Confira: escolha na importação"))</f>
        <v/>
      </c>
      <c r="H305" s="15">
        <f>IF($C305="","",IFERROR(LOOKUP(2,1/((Reconhecimento!$A$5:$A$310&lt;&gt;"")*ISNUMBER(SEARCH(" "&amp;Reconhecimento!$A$5:$A$310," "&amp;$C305))),Reconhecimento!$C$5:$C$310),"—"))</f>
        <v/>
      </c>
      <c r="I305" s="15">
        <f>IF($C305="","",IFERROR(VLOOKUP($G305,Tipos!$A$5:$B$51,2,FALSE),"—"))</f>
        <v/>
      </c>
      <c r="J305" s="15">
        <f>IF(COUNTA($A305:$C305)=0,"",IF($A305="","Falta a Área",IF($B305="","Falta o Setor",IF($C305="","Falta o nome",IF(COUNTIF($C$6:$C$403,$C305)&gt;1,"Nome repetido: use 01, 02… ou a Qtd",IF(LEFT($G305,7)="Confira","Confira o tipo na importação","OK"))))))</f>
        <v/>
      </c>
    </row>
    <row r="306">
      <c r="A306" s="16" t="n"/>
      <c r="B306" s="16" t="n"/>
      <c r="C306" s="16" t="n"/>
      <c r="D306" s="16" t="n"/>
      <c r="E306" s="17" t="n"/>
      <c r="F306" s="16" t="n"/>
      <c r="G306" s="15">
        <f>IF($C306="","",IFERROR(LOOKUP(2,1/((Reconhecimento!$A$5:$A$310&lt;&gt;"")*ISNUMBER(SEARCH(" "&amp;Reconhecimento!$A$5:$A$310," "&amp;$C306))),Reconhecimento!$B$5:$B$310),"Confira: escolha na importação"))</f>
        <v/>
      </c>
      <c r="H306" s="15">
        <f>IF($C306="","",IFERROR(LOOKUP(2,1/((Reconhecimento!$A$5:$A$310&lt;&gt;"")*ISNUMBER(SEARCH(" "&amp;Reconhecimento!$A$5:$A$310," "&amp;$C306))),Reconhecimento!$C$5:$C$310),"—"))</f>
        <v/>
      </c>
      <c r="I306" s="15">
        <f>IF($C306="","",IFERROR(VLOOKUP($G306,Tipos!$A$5:$B$51,2,FALSE),"—"))</f>
        <v/>
      </c>
      <c r="J306" s="15">
        <f>IF(COUNTA($A306:$C306)=0,"",IF($A306="","Falta a Área",IF($B306="","Falta o Setor",IF($C306="","Falta o nome",IF(COUNTIF($C$6:$C$403,$C306)&gt;1,"Nome repetido: use 01, 02… ou a Qtd",IF(LEFT($G306,7)="Confira","Confira o tipo na importação","OK"))))))</f>
        <v/>
      </c>
    </row>
    <row r="307">
      <c r="A307" s="16" t="n"/>
      <c r="B307" s="16" t="n"/>
      <c r="C307" s="16" t="n"/>
      <c r="D307" s="16" t="n"/>
      <c r="E307" s="17" t="n"/>
      <c r="F307" s="16" t="n"/>
      <c r="G307" s="15">
        <f>IF($C307="","",IFERROR(LOOKUP(2,1/((Reconhecimento!$A$5:$A$310&lt;&gt;"")*ISNUMBER(SEARCH(" "&amp;Reconhecimento!$A$5:$A$310," "&amp;$C307))),Reconhecimento!$B$5:$B$310),"Confira: escolha na importação"))</f>
        <v/>
      </c>
      <c r="H307" s="15">
        <f>IF($C307="","",IFERROR(LOOKUP(2,1/((Reconhecimento!$A$5:$A$310&lt;&gt;"")*ISNUMBER(SEARCH(" "&amp;Reconhecimento!$A$5:$A$310," "&amp;$C307))),Reconhecimento!$C$5:$C$310),"—"))</f>
        <v/>
      </c>
      <c r="I307" s="15">
        <f>IF($C307="","",IFERROR(VLOOKUP($G307,Tipos!$A$5:$B$51,2,FALSE),"—"))</f>
        <v/>
      </c>
      <c r="J307" s="15">
        <f>IF(COUNTA($A307:$C307)=0,"",IF($A307="","Falta a Área",IF($B307="","Falta o Setor",IF($C307="","Falta o nome",IF(COUNTIF($C$6:$C$403,$C307)&gt;1,"Nome repetido: use 01, 02… ou a Qtd",IF(LEFT($G307,7)="Confira","Confira o tipo na importação","OK"))))))</f>
        <v/>
      </c>
    </row>
    <row r="308">
      <c r="A308" s="16" t="n"/>
      <c r="B308" s="16" t="n"/>
      <c r="C308" s="16" t="n"/>
      <c r="D308" s="16" t="n"/>
      <c r="E308" s="17" t="n"/>
      <c r="F308" s="16" t="n"/>
      <c r="G308" s="15">
        <f>IF($C308="","",IFERROR(LOOKUP(2,1/((Reconhecimento!$A$5:$A$310&lt;&gt;"")*ISNUMBER(SEARCH(" "&amp;Reconhecimento!$A$5:$A$310," "&amp;$C308))),Reconhecimento!$B$5:$B$310),"Confira: escolha na importação"))</f>
        <v/>
      </c>
      <c r="H308" s="15">
        <f>IF($C308="","",IFERROR(LOOKUP(2,1/((Reconhecimento!$A$5:$A$310&lt;&gt;"")*ISNUMBER(SEARCH(" "&amp;Reconhecimento!$A$5:$A$310," "&amp;$C308))),Reconhecimento!$C$5:$C$310),"—"))</f>
        <v/>
      </c>
      <c r="I308" s="15">
        <f>IF($C308="","",IFERROR(VLOOKUP($G308,Tipos!$A$5:$B$51,2,FALSE),"—"))</f>
        <v/>
      </c>
      <c r="J308" s="15">
        <f>IF(COUNTA($A308:$C308)=0,"",IF($A308="","Falta a Área",IF($B308="","Falta o Setor",IF($C308="","Falta o nome",IF(COUNTIF($C$6:$C$403,$C308)&gt;1,"Nome repetido: use 01, 02… ou a Qtd",IF(LEFT($G308,7)="Confira","Confira o tipo na importação","OK"))))))</f>
        <v/>
      </c>
    </row>
    <row r="309">
      <c r="A309" s="16" t="n"/>
      <c r="B309" s="16" t="n"/>
      <c r="C309" s="16" t="n"/>
      <c r="D309" s="16" t="n"/>
      <c r="E309" s="17" t="n"/>
      <c r="F309" s="16" t="n"/>
      <c r="G309" s="15">
        <f>IF($C309="","",IFERROR(LOOKUP(2,1/((Reconhecimento!$A$5:$A$310&lt;&gt;"")*ISNUMBER(SEARCH(" "&amp;Reconhecimento!$A$5:$A$310," "&amp;$C309))),Reconhecimento!$B$5:$B$310),"Confira: escolha na importação"))</f>
        <v/>
      </c>
      <c r="H309" s="15">
        <f>IF($C309="","",IFERROR(LOOKUP(2,1/((Reconhecimento!$A$5:$A$310&lt;&gt;"")*ISNUMBER(SEARCH(" "&amp;Reconhecimento!$A$5:$A$310," "&amp;$C309))),Reconhecimento!$C$5:$C$310),"—"))</f>
        <v/>
      </c>
      <c r="I309" s="15">
        <f>IF($C309="","",IFERROR(VLOOKUP($G309,Tipos!$A$5:$B$51,2,FALSE),"—"))</f>
        <v/>
      </c>
      <c r="J309" s="15">
        <f>IF(COUNTA($A309:$C309)=0,"",IF($A309="","Falta a Área",IF($B309="","Falta o Setor",IF($C309="","Falta o nome",IF(COUNTIF($C$6:$C$403,$C309)&gt;1,"Nome repetido: use 01, 02… ou a Qtd",IF(LEFT($G309,7)="Confira","Confira o tipo na importação","OK"))))))</f>
        <v/>
      </c>
    </row>
    <row r="310">
      <c r="A310" s="16" t="n"/>
      <c r="B310" s="16" t="n"/>
      <c r="C310" s="16" t="n"/>
      <c r="D310" s="16" t="n"/>
      <c r="E310" s="17" t="n"/>
      <c r="F310" s="16" t="n"/>
      <c r="G310" s="15">
        <f>IF($C310="","",IFERROR(LOOKUP(2,1/((Reconhecimento!$A$5:$A$310&lt;&gt;"")*ISNUMBER(SEARCH(" "&amp;Reconhecimento!$A$5:$A$310," "&amp;$C310))),Reconhecimento!$B$5:$B$310),"Confira: escolha na importação"))</f>
        <v/>
      </c>
      <c r="H310" s="15">
        <f>IF($C310="","",IFERROR(LOOKUP(2,1/((Reconhecimento!$A$5:$A$310&lt;&gt;"")*ISNUMBER(SEARCH(" "&amp;Reconhecimento!$A$5:$A$310," "&amp;$C310))),Reconhecimento!$C$5:$C$310),"—"))</f>
        <v/>
      </c>
      <c r="I310" s="15">
        <f>IF($C310="","",IFERROR(VLOOKUP($G310,Tipos!$A$5:$B$51,2,FALSE),"—"))</f>
        <v/>
      </c>
      <c r="J310" s="15">
        <f>IF(COUNTA($A310:$C310)=0,"",IF($A310="","Falta a Área",IF($B310="","Falta o Setor",IF($C310="","Falta o nome",IF(COUNTIF($C$6:$C$403,$C310)&gt;1,"Nome repetido: use 01, 02… ou a Qtd",IF(LEFT($G310,7)="Confira","Confira o tipo na importação","OK"))))))</f>
        <v/>
      </c>
    </row>
    <row r="311">
      <c r="A311" s="16" t="n"/>
      <c r="B311" s="16" t="n"/>
      <c r="C311" s="16" t="n"/>
      <c r="D311" s="16" t="n"/>
      <c r="E311" s="17" t="n"/>
      <c r="F311" s="16" t="n"/>
      <c r="G311" s="15">
        <f>IF($C311="","",IFERROR(LOOKUP(2,1/((Reconhecimento!$A$5:$A$310&lt;&gt;"")*ISNUMBER(SEARCH(" "&amp;Reconhecimento!$A$5:$A$310," "&amp;$C311))),Reconhecimento!$B$5:$B$310),"Confira: escolha na importação"))</f>
        <v/>
      </c>
      <c r="H311" s="15">
        <f>IF($C311="","",IFERROR(LOOKUP(2,1/((Reconhecimento!$A$5:$A$310&lt;&gt;"")*ISNUMBER(SEARCH(" "&amp;Reconhecimento!$A$5:$A$310," "&amp;$C311))),Reconhecimento!$C$5:$C$310),"—"))</f>
        <v/>
      </c>
      <c r="I311" s="15">
        <f>IF($C311="","",IFERROR(VLOOKUP($G311,Tipos!$A$5:$B$51,2,FALSE),"—"))</f>
        <v/>
      </c>
      <c r="J311" s="15">
        <f>IF(COUNTA($A311:$C311)=0,"",IF($A311="","Falta a Área",IF($B311="","Falta o Setor",IF($C311="","Falta o nome",IF(COUNTIF($C$6:$C$403,$C311)&gt;1,"Nome repetido: use 01, 02… ou a Qtd",IF(LEFT($G311,7)="Confira","Confira o tipo na importação","OK"))))))</f>
        <v/>
      </c>
    </row>
    <row r="312">
      <c r="A312" s="16" t="n"/>
      <c r="B312" s="16" t="n"/>
      <c r="C312" s="16" t="n"/>
      <c r="D312" s="16" t="n"/>
      <c r="E312" s="17" t="n"/>
      <c r="F312" s="16" t="n"/>
      <c r="G312" s="15">
        <f>IF($C312="","",IFERROR(LOOKUP(2,1/((Reconhecimento!$A$5:$A$310&lt;&gt;"")*ISNUMBER(SEARCH(" "&amp;Reconhecimento!$A$5:$A$310," "&amp;$C312))),Reconhecimento!$B$5:$B$310),"Confira: escolha na importação"))</f>
        <v/>
      </c>
      <c r="H312" s="15">
        <f>IF($C312="","",IFERROR(LOOKUP(2,1/((Reconhecimento!$A$5:$A$310&lt;&gt;"")*ISNUMBER(SEARCH(" "&amp;Reconhecimento!$A$5:$A$310," "&amp;$C312))),Reconhecimento!$C$5:$C$310),"—"))</f>
        <v/>
      </c>
      <c r="I312" s="15">
        <f>IF($C312="","",IFERROR(VLOOKUP($G312,Tipos!$A$5:$B$51,2,FALSE),"—"))</f>
        <v/>
      </c>
      <c r="J312" s="15">
        <f>IF(COUNTA($A312:$C312)=0,"",IF($A312="","Falta a Área",IF($B312="","Falta o Setor",IF($C312="","Falta o nome",IF(COUNTIF($C$6:$C$403,$C312)&gt;1,"Nome repetido: use 01, 02… ou a Qtd",IF(LEFT($G312,7)="Confira","Confira o tipo na importação","OK"))))))</f>
        <v/>
      </c>
    </row>
    <row r="313">
      <c r="A313" s="16" t="n"/>
      <c r="B313" s="16" t="n"/>
      <c r="C313" s="16" t="n"/>
      <c r="D313" s="16" t="n"/>
      <c r="E313" s="17" t="n"/>
      <c r="F313" s="16" t="n"/>
      <c r="G313" s="15">
        <f>IF($C313="","",IFERROR(LOOKUP(2,1/((Reconhecimento!$A$5:$A$310&lt;&gt;"")*ISNUMBER(SEARCH(" "&amp;Reconhecimento!$A$5:$A$310," "&amp;$C313))),Reconhecimento!$B$5:$B$310),"Confira: escolha na importação"))</f>
        <v/>
      </c>
      <c r="H313" s="15">
        <f>IF($C313="","",IFERROR(LOOKUP(2,1/((Reconhecimento!$A$5:$A$310&lt;&gt;"")*ISNUMBER(SEARCH(" "&amp;Reconhecimento!$A$5:$A$310," "&amp;$C313))),Reconhecimento!$C$5:$C$310),"—"))</f>
        <v/>
      </c>
      <c r="I313" s="15">
        <f>IF($C313="","",IFERROR(VLOOKUP($G313,Tipos!$A$5:$B$51,2,FALSE),"—"))</f>
        <v/>
      </c>
      <c r="J313" s="15">
        <f>IF(COUNTA($A313:$C313)=0,"",IF($A313="","Falta a Área",IF($B313="","Falta o Setor",IF($C313="","Falta o nome",IF(COUNTIF($C$6:$C$403,$C313)&gt;1,"Nome repetido: use 01, 02… ou a Qtd",IF(LEFT($G313,7)="Confira","Confira o tipo na importação","OK"))))))</f>
        <v/>
      </c>
    </row>
    <row r="314">
      <c r="A314" s="16" t="n"/>
      <c r="B314" s="16" t="n"/>
      <c r="C314" s="16" t="n"/>
      <c r="D314" s="16" t="n"/>
      <c r="E314" s="17" t="n"/>
      <c r="F314" s="16" t="n"/>
      <c r="G314" s="15">
        <f>IF($C314="","",IFERROR(LOOKUP(2,1/((Reconhecimento!$A$5:$A$310&lt;&gt;"")*ISNUMBER(SEARCH(" "&amp;Reconhecimento!$A$5:$A$310," "&amp;$C314))),Reconhecimento!$B$5:$B$310),"Confira: escolha na importação"))</f>
        <v/>
      </c>
      <c r="H314" s="15">
        <f>IF($C314="","",IFERROR(LOOKUP(2,1/((Reconhecimento!$A$5:$A$310&lt;&gt;"")*ISNUMBER(SEARCH(" "&amp;Reconhecimento!$A$5:$A$310," "&amp;$C314))),Reconhecimento!$C$5:$C$310),"—"))</f>
        <v/>
      </c>
      <c r="I314" s="15">
        <f>IF($C314="","",IFERROR(VLOOKUP($G314,Tipos!$A$5:$B$51,2,FALSE),"—"))</f>
        <v/>
      </c>
      <c r="J314" s="15">
        <f>IF(COUNTA($A314:$C314)=0,"",IF($A314="","Falta a Área",IF($B314="","Falta o Setor",IF($C314="","Falta o nome",IF(COUNTIF($C$6:$C$403,$C314)&gt;1,"Nome repetido: use 01, 02… ou a Qtd",IF(LEFT($G314,7)="Confira","Confira o tipo na importação","OK"))))))</f>
        <v/>
      </c>
    </row>
    <row r="315">
      <c r="A315" s="16" t="n"/>
      <c r="B315" s="16" t="n"/>
      <c r="C315" s="16" t="n"/>
      <c r="D315" s="16" t="n"/>
      <c r="E315" s="17" t="n"/>
      <c r="F315" s="16" t="n"/>
      <c r="G315" s="15">
        <f>IF($C315="","",IFERROR(LOOKUP(2,1/((Reconhecimento!$A$5:$A$310&lt;&gt;"")*ISNUMBER(SEARCH(" "&amp;Reconhecimento!$A$5:$A$310," "&amp;$C315))),Reconhecimento!$B$5:$B$310),"Confira: escolha na importação"))</f>
        <v/>
      </c>
      <c r="H315" s="15">
        <f>IF($C315="","",IFERROR(LOOKUP(2,1/((Reconhecimento!$A$5:$A$310&lt;&gt;"")*ISNUMBER(SEARCH(" "&amp;Reconhecimento!$A$5:$A$310," "&amp;$C315))),Reconhecimento!$C$5:$C$310),"—"))</f>
        <v/>
      </c>
      <c r="I315" s="15">
        <f>IF($C315="","",IFERROR(VLOOKUP($G315,Tipos!$A$5:$B$51,2,FALSE),"—"))</f>
        <v/>
      </c>
      <c r="J315" s="15">
        <f>IF(COUNTA($A315:$C315)=0,"",IF($A315="","Falta a Área",IF($B315="","Falta o Setor",IF($C315="","Falta o nome",IF(COUNTIF($C$6:$C$403,$C315)&gt;1,"Nome repetido: use 01, 02… ou a Qtd",IF(LEFT($G315,7)="Confira","Confira o tipo na importação","OK"))))))</f>
        <v/>
      </c>
    </row>
    <row r="316">
      <c r="A316" s="16" t="n"/>
      <c r="B316" s="16" t="n"/>
      <c r="C316" s="16" t="n"/>
      <c r="D316" s="16" t="n"/>
      <c r="E316" s="17" t="n"/>
      <c r="F316" s="16" t="n"/>
      <c r="G316" s="15">
        <f>IF($C316="","",IFERROR(LOOKUP(2,1/((Reconhecimento!$A$5:$A$310&lt;&gt;"")*ISNUMBER(SEARCH(" "&amp;Reconhecimento!$A$5:$A$310," "&amp;$C316))),Reconhecimento!$B$5:$B$310),"Confira: escolha na importação"))</f>
        <v/>
      </c>
      <c r="H316" s="15">
        <f>IF($C316="","",IFERROR(LOOKUP(2,1/((Reconhecimento!$A$5:$A$310&lt;&gt;"")*ISNUMBER(SEARCH(" "&amp;Reconhecimento!$A$5:$A$310," "&amp;$C316))),Reconhecimento!$C$5:$C$310),"—"))</f>
        <v/>
      </c>
      <c r="I316" s="15">
        <f>IF($C316="","",IFERROR(VLOOKUP($G316,Tipos!$A$5:$B$51,2,FALSE),"—"))</f>
        <v/>
      </c>
      <c r="J316" s="15">
        <f>IF(COUNTA($A316:$C316)=0,"",IF($A316="","Falta a Área",IF($B316="","Falta o Setor",IF($C316="","Falta o nome",IF(COUNTIF($C$6:$C$403,$C316)&gt;1,"Nome repetido: use 01, 02… ou a Qtd",IF(LEFT($G316,7)="Confira","Confira o tipo na importação","OK"))))))</f>
        <v/>
      </c>
    </row>
    <row r="317">
      <c r="A317" s="16" t="n"/>
      <c r="B317" s="16" t="n"/>
      <c r="C317" s="16" t="n"/>
      <c r="D317" s="16" t="n"/>
      <c r="E317" s="17" t="n"/>
      <c r="F317" s="16" t="n"/>
      <c r="G317" s="15">
        <f>IF($C317="","",IFERROR(LOOKUP(2,1/((Reconhecimento!$A$5:$A$310&lt;&gt;"")*ISNUMBER(SEARCH(" "&amp;Reconhecimento!$A$5:$A$310," "&amp;$C317))),Reconhecimento!$B$5:$B$310),"Confira: escolha na importação"))</f>
        <v/>
      </c>
      <c r="H317" s="15">
        <f>IF($C317="","",IFERROR(LOOKUP(2,1/((Reconhecimento!$A$5:$A$310&lt;&gt;"")*ISNUMBER(SEARCH(" "&amp;Reconhecimento!$A$5:$A$310," "&amp;$C317))),Reconhecimento!$C$5:$C$310),"—"))</f>
        <v/>
      </c>
      <c r="I317" s="15">
        <f>IF($C317="","",IFERROR(VLOOKUP($G317,Tipos!$A$5:$B$51,2,FALSE),"—"))</f>
        <v/>
      </c>
      <c r="J317" s="15">
        <f>IF(COUNTA($A317:$C317)=0,"",IF($A317="","Falta a Área",IF($B317="","Falta o Setor",IF($C317="","Falta o nome",IF(COUNTIF($C$6:$C$403,$C317)&gt;1,"Nome repetido: use 01, 02… ou a Qtd",IF(LEFT($G317,7)="Confira","Confira o tipo na importação","OK"))))))</f>
        <v/>
      </c>
    </row>
    <row r="318">
      <c r="A318" s="16" t="n"/>
      <c r="B318" s="16" t="n"/>
      <c r="C318" s="16" t="n"/>
      <c r="D318" s="16" t="n"/>
      <c r="E318" s="17" t="n"/>
      <c r="F318" s="16" t="n"/>
      <c r="G318" s="15">
        <f>IF($C318="","",IFERROR(LOOKUP(2,1/((Reconhecimento!$A$5:$A$310&lt;&gt;"")*ISNUMBER(SEARCH(" "&amp;Reconhecimento!$A$5:$A$310," "&amp;$C318))),Reconhecimento!$B$5:$B$310),"Confira: escolha na importação"))</f>
        <v/>
      </c>
      <c r="H318" s="15">
        <f>IF($C318="","",IFERROR(LOOKUP(2,1/((Reconhecimento!$A$5:$A$310&lt;&gt;"")*ISNUMBER(SEARCH(" "&amp;Reconhecimento!$A$5:$A$310," "&amp;$C318))),Reconhecimento!$C$5:$C$310),"—"))</f>
        <v/>
      </c>
      <c r="I318" s="15">
        <f>IF($C318="","",IFERROR(VLOOKUP($G318,Tipos!$A$5:$B$51,2,FALSE),"—"))</f>
        <v/>
      </c>
      <c r="J318" s="15">
        <f>IF(COUNTA($A318:$C318)=0,"",IF($A318="","Falta a Área",IF($B318="","Falta o Setor",IF($C318="","Falta o nome",IF(COUNTIF($C$6:$C$403,$C318)&gt;1,"Nome repetido: use 01, 02… ou a Qtd",IF(LEFT($G318,7)="Confira","Confira o tipo na importação","OK"))))))</f>
        <v/>
      </c>
    </row>
    <row r="319">
      <c r="A319" s="16" t="n"/>
      <c r="B319" s="16" t="n"/>
      <c r="C319" s="16" t="n"/>
      <c r="D319" s="16" t="n"/>
      <c r="E319" s="17" t="n"/>
      <c r="F319" s="16" t="n"/>
      <c r="G319" s="15">
        <f>IF($C319="","",IFERROR(LOOKUP(2,1/((Reconhecimento!$A$5:$A$310&lt;&gt;"")*ISNUMBER(SEARCH(" "&amp;Reconhecimento!$A$5:$A$310," "&amp;$C319))),Reconhecimento!$B$5:$B$310),"Confira: escolha na importação"))</f>
        <v/>
      </c>
      <c r="H319" s="15">
        <f>IF($C319="","",IFERROR(LOOKUP(2,1/((Reconhecimento!$A$5:$A$310&lt;&gt;"")*ISNUMBER(SEARCH(" "&amp;Reconhecimento!$A$5:$A$310," "&amp;$C319))),Reconhecimento!$C$5:$C$310),"—"))</f>
        <v/>
      </c>
      <c r="I319" s="15">
        <f>IF($C319="","",IFERROR(VLOOKUP($G319,Tipos!$A$5:$B$51,2,FALSE),"—"))</f>
        <v/>
      </c>
      <c r="J319" s="15">
        <f>IF(COUNTA($A319:$C319)=0,"",IF($A319="","Falta a Área",IF($B319="","Falta o Setor",IF($C319="","Falta o nome",IF(COUNTIF($C$6:$C$403,$C319)&gt;1,"Nome repetido: use 01, 02… ou a Qtd",IF(LEFT($G319,7)="Confira","Confira o tipo na importação","OK"))))))</f>
        <v/>
      </c>
    </row>
    <row r="320">
      <c r="A320" s="16" t="n"/>
      <c r="B320" s="16" t="n"/>
      <c r="C320" s="16" t="n"/>
      <c r="D320" s="16" t="n"/>
      <c r="E320" s="17" t="n"/>
      <c r="F320" s="16" t="n"/>
      <c r="G320" s="15">
        <f>IF($C320="","",IFERROR(LOOKUP(2,1/((Reconhecimento!$A$5:$A$310&lt;&gt;"")*ISNUMBER(SEARCH(" "&amp;Reconhecimento!$A$5:$A$310," "&amp;$C320))),Reconhecimento!$B$5:$B$310),"Confira: escolha na importação"))</f>
        <v/>
      </c>
      <c r="H320" s="15">
        <f>IF($C320="","",IFERROR(LOOKUP(2,1/((Reconhecimento!$A$5:$A$310&lt;&gt;"")*ISNUMBER(SEARCH(" "&amp;Reconhecimento!$A$5:$A$310," "&amp;$C320))),Reconhecimento!$C$5:$C$310),"—"))</f>
        <v/>
      </c>
      <c r="I320" s="15">
        <f>IF($C320="","",IFERROR(VLOOKUP($G320,Tipos!$A$5:$B$51,2,FALSE),"—"))</f>
        <v/>
      </c>
      <c r="J320" s="15">
        <f>IF(COUNTA($A320:$C320)=0,"",IF($A320="","Falta a Área",IF($B320="","Falta o Setor",IF($C320="","Falta o nome",IF(COUNTIF($C$6:$C$403,$C320)&gt;1,"Nome repetido: use 01, 02… ou a Qtd",IF(LEFT($G320,7)="Confira","Confira o tipo na importação","OK"))))))</f>
        <v/>
      </c>
    </row>
    <row r="321">
      <c r="A321" s="16" t="n"/>
      <c r="B321" s="16" t="n"/>
      <c r="C321" s="16" t="n"/>
      <c r="D321" s="16" t="n"/>
      <c r="E321" s="17" t="n"/>
      <c r="F321" s="16" t="n"/>
      <c r="G321" s="15">
        <f>IF($C321="","",IFERROR(LOOKUP(2,1/((Reconhecimento!$A$5:$A$310&lt;&gt;"")*ISNUMBER(SEARCH(" "&amp;Reconhecimento!$A$5:$A$310," "&amp;$C321))),Reconhecimento!$B$5:$B$310),"Confira: escolha na importação"))</f>
        <v/>
      </c>
      <c r="H321" s="15">
        <f>IF($C321="","",IFERROR(LOOKUP(2,1/((Reconhecimento!$A$5:$A$310&lt;&gt;"")*ISNUMBER(SEARCH(" "&amp;Reconhecimento!$A$5:$A$310," "&amp;$C321))),Reconhecimento!$C$5:$C$310),"—"))</f>
        <v/>
      </c>
      <c r="I321" s="15">
        <f>IF($C321="","",IFERROR(VLOOKUP($G321,Tipos!$A$5:$B$51,2,FALSE),"—"))</f>
        <v/>
      </c>
      <c r="J321" s="15">
        <f>IF(COUNTA($A321:$C321)=0,"",IF($A321="","Falta a Área",IF($B321="","Falta o Setor",IF($C321="","Falta o nome",IF(COUNTIF($C$6:$C$403,$C321)&gt;1,"Nome repetido: use 01, 02… ou a Qtd",IF(LEFT($G321,7)="Confira","Confira o tipo na importação","OK"))))))</f>
        <v/>
      </c>
    </row>
    <row r="322">
      <c r="A322" s="16" t="n"/>
      <c r="B322" s="16" t="n"/>
      <c r="C322" s="16" t="n"/>
      <c r="D322" s="16" t="n"/>
      <c r="E322" s="17" t="n"/>
      <c r="F322" s="16" t="n"/>
      <c r="G322" s="15">
        <f>IF($C322="","",IFERROR(LOOKUP(2,1/((Reconhecimento!$A$5:$A$310&lt;&gt;"")*ISNUMBER(SEARCH(" "&amp;Reconhecimento!$A$5:$A$310," "&amp;$C322))),Reconhecimento!$B$5:$B$310),"Confira: escolha na importação"))</f>
        <v/>
      </c>
      <c r="H322" s="15">
        <f>IF($C322="","",IFERROR(LOOKUP(2,1/((Reconhecimento!$A$5:$A$310&lt;&gt;"")*ISNUMBER(SEARCH(" "&amp;Reconhecimento!$A$5:$A$310," "&amp;$C322))),Reconhecimento!$C$5:$C$310),"—"))</f>
        <v/>
      </c>
      <c r="I322" s="15">
        <f>IF($C322="","",IFERROR(VLOOKUP($G322,Tipos!$A$5:$B$51,2,FALSE),"—"))</f>
        <v/>
      </c>
      <c r="J322" s="15">
        <f>IF(COUNTA($A322:$C322)=0,"",IF($A322="","Falta a Área",IF($B322="","Falta o Setor",IF($C322="","Falta o nome",IF(COUNTIF($C$6:$C$403,$C322)&gt;1,"Nome repetido: use 01, 02… ou a Qtd",IF(LEFT($G322,7)="Confira","Confira o tipo na importação","OK"))))))</f>
        <v/>
      </c>
    </row>
    <row r="323">
      <c r="A323" s="16" t="n"/>
      <c r="B323" s="16" t="n"/>
      <c r="C323" s="16" t="n"/>
      <c r="D323" s="16" t="n"/>
      <c r="E323" s="17" t="n"/>
      <c r="F323" s="16" t="n"/>
      <c r="G323" s="15">
        <f>IF($C323="","",IFERROR(LOOKUP(2,1/((Reconhecimento!$A$5:$A$310&lt;&gt;"")*ISNUMBER(SEARCH(" "&amp;Reconhecimento!$A$5:$A$310," "&amp;$C323))),Reconhecimento!$B$5:$B$310),"Confira: escolha na importação"))</f>
        <v/>
      </c>
      <c r="H323" s="15">
        <f>IF($C323="","",IFERROR(LOOKUP(2,1/((Reconhecimento!$A$5:$A$310&lt;&gt;"")*ISNUMBER(SEARCH(" "&amp;Reconhecimento!$A$5:$A$310," "&amp;$C323))),Reconhecimento!$C$5:$C$310),"—"))</f>
        <v/>
      </c>
      <c r="I323" s="15">
        <f>IF($C323="","",IFERROR(VLOOKUP($G323,Tipos!$A$5:$B$51,2,FALSE),"—"))</f>
        <v/>
      </c>
      <c r="J323" s="15">
        <f>IF(COUNTA($A323:$C323)=0,"",IF($A323="","Falta a Área",IF($B323="","Falta o Setor",IF($C323="","Falta o nome",IF(COUNTIF($C$6:$C$403,$C323)&gt;1,"Nome repetido: use 01, 02… ou a Qtd",IF(LEFT($G323,7)="Confira","Confira o tipo na importação","OK"))))))</f>
        <v/>
      </c>
    </row>
    <row r="324">
      <c r="A324" s="16" t="n"/>
      <c r="B324" s="16" t="n"/>
      <c r="C324" s="16" t="n"/>
      <c r="D324" s="16" t="n"/>
      <c r="E324" s="17" t="n"/>
      <c r="F324" s="16" t="n"/>
      <c r="G324" s="15">
        <f>IF($C324="","",IFERROR(LOOKUP(2,1/((Reconhecimento!$A$5:$A$310&lt;&gt;"")*ISNUMBER(SEARCH(" "&amp;Reconhecimento!$A$5:$A$310," "&amp;$C324))),Reconhecimento!$B$5:$B$310),"Confira: escolha na importação"))</f>
        <v/>
      </c>
      <c r="H324" s="15">
        <f>IF($C324="","",IFERROR(LOOKUP(2,1/((Reconhecimento!$A$5:$A$310&lt;&gt;"")*ISNUMBER(SEARCH(" "&amp;Reconhecimento!$A$5:$A$310," "&amp;$C324))),Reconhecimento!$C$5:$C$310),"—"))</f>
        <v/>
      </c>
      <c r="I324" s="15">
        <f>IF($C324="","",IFERROR(VLOOKUP($G324,Tipos!$A$5:$B$51,2,FALSE),"—"))</f>
        <v/>
      </c>
      <c r="J324" s="15">
        <f>IF(COUNTA($A324:$C324)=0,"",IF($A324="","Falta a Área",IF($B324="","Falta o Setor",IF($C324="","Falta o nome",IF(COUNTIF($C$6:$C$403,$C324)&gt;1,"Nome repetido: use 01, 02… ou a Qtd",IF(LEFT($G324,7)="Confira","Confira o tipo na importação","OK"))))))</f>
        <v/>
      </c>
    </row>
    <row r="325">
      <c r="A325" s="16" t="n"/>
      <c r="B325" s="16" t="n"/>
      <c r="C325" s="16" t="n"/>
      <c r="D325" s="16" t="n"/>
      <c r="E325" s="17" t="n"/>
      <c r="F325" s="16" t="n"/>
      <c r="G325" s="15">
        <f>IF($C325="","",IFERROR(LOOKUP(2,1/((Reconhecimento!$A$5:$A$310&lt;&gt;"")*ISNUMBER(SEARCH(" "&amp;Reconhecimento!$A$5:$A$310," "&amp;$C325))),Reconhecimento!$B$5:$B$310),"Confira: escolha na importação"))</f>
        <v/>
      </c>
      <c r="H325" s="15">
        <f>IF($C325="","",IFERROR(LOOKUP(2,1/((Reconhecimento!$A$5:$A$310&lt;&gt;"")*ISNUMBER(SEARCH(" "&amp;Reconhecimento!$A$5:$A$310," "&amp;$C325))),Reconhecimento!$C$5:$C$310),"—"))</f>
        <v/>
      </c>
      <c r="I325" s="15">
        <f>IF($C325="","",IFERROR(VLOOKUP($G325,Tipos!$A$5:$B$51,2,FALSE),"—"))</f>
        <v/>
      </c>
      <c r="J325" s="15">
        <f>IF(COUNTA($A325:$C325)=0,"",IF($A325="","Falta a Área",IF($B325="","Falta o Setor",IF($C325="","Falta o nome",IF(COUNTIF($C$6:$C$403,$C325)&gt;1,"Nome repetido: use 01, 02… ou a Qtd",IF(LEFT($G325,7)="Confira","Confira o tipo na importação","OK"))))))</f>
        <v/>
      </c>
    </row>
    <row r="326">
      <c r="A326" s="16" t="n"/>
      <c r="B326" s="16" t="n"/>
      <c r="C326" s="16" t="n"/>
      <c r="D326" s="16" t="n"/>
      <c r="E326" s="17" t="n"/>
      <c r="F326" s="16" t="n"/>
      <c r="G326" s="15">
        <f>IF($C326="","",IFERROR(LOOKUP(2,1/((Reconhecimento!$A$5:$A$310&lt;&gt;"")*ISNUMBER(SEARCH(" "&amp;Reconhecimento!$A$5:$A$310," "&amp;$C326))),Reconhecimento!$B$5:$B$310),"Confira: escolha na importação"))</f>
        <v/>
      </c>
      <c r="H326" s="15">
        <f>IF($C326="","",IFERROR(LOOKUP(2,1/((Reconhecimento!$A$5:$A$310&lt;&gt;"")*ISNUMBER(SEARCH(" "&amp;Reconhecimento!$A$5:$A$310," "&amp;$C326))),Reconhecimento!$C$5:$C$310),"—"))</f>
        <v/>
      </c>
      <c r="I326" s="15">
        <f>IF($C326="","",IFERROR(VLOOKUP($G326,Tipos!$A$5:$B$51,2,FALSE),"—"))</f>
        <v/>
      </c>
      <c r="J326" s="15">
        <f>IF(COUNTA($A326:$C326)=0,"",IF($A326="","Falta a Área",IF($B326="","Falta o Setor",IF($C326="","Falta o nome",IF(COUNTIF($C$6:$C$403,$C326)&gt;1,"Nome repetido: use 01, 02… ou a Qtd",IF(LEFT($G326,7)="Confira","Confira o tipo na importação","OK"))))))</f>
        <v/>
      </c>
    </row>
    <row r="327">
      <c r="A327" s="16" t="n"/>
      <c r="B327" s="16" t="n"/>
      <c r="C327" s="16" t="n"/>
      <c r="D327" s="16" t="n"/>
      <c r="E327" s="17" t="n"/>
      <c r="F327" s="16" t="n"/>
      <c r="G327" s="15">
        <f>IF($C327="","",IFERROR(LOOKUP(2,1/((Reconhecimento!$A$5:$A$310&lt;&gt;"")*ISNUMBER(SEARCH(" "&amp;Reconhecimento!$A$5:$A$310," "&amp;$C327))),Reconhecimento!$B$5:$B$310),"Confira: escolha na importação"))</f>
        <v/>
      </c>
      <c r="H327" s="15">
        <f>IF($C327="","",IFERROR(LOOKUP(2,1/((Reconhecimento!$A$5:$A$310&lt;&gt;"")*ISNUMBER(SEARCH(" "&amp;Reconhecimento!$A$5:$A$310," "&amp;$C327))),Reconhecimento!$C$5:$C$310),"—"))</f>
        <v/>
      </c>
      <c r="I327" s="15">
        <f>IF($C327="","",IFERROR(VLOOKUP($G327,Tipos!$A$5:$B$51,2,FALSE),"—"))</f>
        <v/>
      </c>
      <c r="J327" s="15">
        <f>IF(COUNTA($A327:$C327)=0,"",IF($A327="","Falta a Área",IF($B327="","Falta o Setor",IF($C327="","Falta o nome",IF(COUNTIF($C$6:$C$403,$C327)&gt;1,"Nome repetido: use 01, 02… ou a Qtd",IF(LEFT($G327,7)="Confira","Confira o tipo na importação","OK"))))))</f>
        <v/>
      </c>
    </row>
    <row r="328">
      <c r="A328" s="16" t="n"/>
      <c r="B328" s="16" t="n"/>
      <c r="C328" s="16" t="n"/>
      <c r="D328" s="16" t="n"/>
      <c r="E328" s="17" t="n"/>
      <c r="F328" s="16" t="n"/>
      <c r="G328" s="15">
        <f>IF($C328="","",IFERROR(LOOKUP(2,1/((Reconhecimento!$A$5:$A$310&lt;&gt;"")*ISNUMBER(SEARCH(" "&amp;Reconhecimento!$A$5:$A$310," "&amp;$C328))),Reconhecimento!$B$5:$B$310),"Confira: escolha na importação"))</f>
        <v/>
      </c>
      <c r="H328" s="15">
        <f>IF($C328="","",IFERROR(LOOKUP(2,1/((Reconhecimento!$A$5:$A$310&lt;&gt;"")*ISNUMBER(SEARCH(" "&amp;Reconhecimento!$A$5:$A$310," "&amp;$C328))),Reconhecimento!$C$5:$C$310),"—"))</f>
        <v/>
      </c>
      <c r="I328" s="15">
        <f>IF($C328="","",IFERROR(VLOOKUP($G328,Tipos!$A$5:$B$51,2,FALSE),"—"))</f>
        <v/>
      </c>
      <c r="J328" s="15">
        <f>IF(COUNTA($A328:$C328)=0,"",IF($A328="","Falta a Área",IF($B328="","Falta o Setor",IF($C328="","Falta o nome",IF(COUNTIF($C$6:$C$403,$C328)&gt;1,"Nome repetido: use 01, 02… ou a Qtd",IF(LEFT($G328,7)="Confira","Confira o tipo na importação","OK"))))))</f>
        <v/>
      </c>
    </row>
    <row r="329">
      <c r="A329" s="16" t="n"/>
      <c r="B329" s="16" t="n"/>
      <c r="C329" s="16" t="n"/>
      <c r="D329" s="16" t="n"/>
      <c r="E329" s="17" t="n"/>
      <c r="F329" s="16" t="n"/>
      <c r="G329" s="15">
        <f>IF($C329="","",IFERROR(LOOKUP(2,1/((Reconhecimento!$A$5:$A$310&lt;&gt;"")*ISNUMBER(SEARCH(" "&amp;Reconhecimento!$A$5:$A$310," "&amp;$C329))),Reconhecimento!$B$5:$B$310),"Confira: escolha na importação"))</f>
        <v/>
      </c>
      <c r="H329" s="15">
        <f>IF($C329="","",IFERROR(LOOKUP(2,1/((Reconhecimento!$A$5:$A$310&lt;&gt;"")*ISNUMBER(SEARCH(" "&amp;Reconhecimento!$A$5:$A$310," "&amp;$C329))),Reconhecimento!$C$5:$C$310),"—"))</f>
        <v/>
      </c>
      <c r="I329" s="15">
        <f>IF($C329="","",IFERROR(VLOOKUP($G329,Tipos!$A$5:$B$51,2,FALSE),"—"))</f>
        <v/>
      </c>
      <c r="J329" s="15">
        <f>IF(COUNTA($A329:$C329)=0,"",IF($A329="","Falta a Área",IF($B329="","Falta o Setor",IF($C329="","Falta o nome",IF(COUNTIF($C$6:$C$403,$C329)&gt;1,"Nome repetido: use 01, 02… ou a Qtd",IF(LEFT($G329,7)="Confira","Confira o tipo na importação","OK"))))))</f>
        <v/>
      </c>
    </row>
    <row r="330">
      <c r="A330" s="16" t="n"/>
      <c r="B330" s="16" t="n"/>
      <c r="C330" s="16" t="n"/>
      <c r="D330" s="16" t="n"/>
      <c r="E330" s="17" t="n"/>
      <c r="F330" s="16" t="n"/>
      <c r="G330" s="15">
        <f>IF($C330="","",IFERROR(LOOKUP(2,1/((Reconhecimento!$A$5:$A$310&lt;&gt;"")*ISNUMBER(SEARCH(" "&amp;Reconhecimento!$A$5:$A$310," "&amp;$C330))),Reconhecimento!$B$5:$B$310),"Confira: escolha na importação"))</f>
        <v/>
      </c>
      <c r="H330" s="15">
        <f>IF($C330="","",IFERROR(LOOKUP(2,1/((Reconhecimento!$A$5:$A$310&lt;&gt;"")*ISNUMBER(SEARCH(" "&amp;Reconhecimento!$A$5:$A$310," "&amp;$C330))),Reconhecimento!$C$5:$C$310),"—"))</f>
        <v/>
      </c>
      <c r="I330" s="15">
        <f>IF($C330="","",IFERROR(VLOOKUP($G330,Tipos!$A$5:$B$51,2,FALSE),"—"))</f>
        <v/>
      </c>
      <c r="J330" s="15">
        <f>IF(COUNTA($A330:$C330)=0,"",IF($A330="","Falta a Área",IF($B330="","Falta o Setor",IF($C330="","Falta o nome",IF(COUNTIF($C$6:$C$403,$C330)&gt;1,"Nome repetido: use 01, 02… ou a Qtd",IF(LEFT($G330,7)="Confira","Confira o tipo na importação","OK"))))))</f>
        <v/>
      </c>
    </row>
    <row r="331">
      <c r="A331" s="16" t="n"/>
      <c r="B331" s="16" t="n"/>
      <c r="C331" s="16" t="n"/>
      <c r="D331" s="16" t="n"/>
      <c r="E331" s="17" t="n"/>
      <c r="F331" s="16" t="n"/>
      <c r="G331" s="15">
        <f>IF($C331="","",IFERROR(LOOKUP(2,1/((Reconhecimento!$A$5:$A$310&lt;&gt;"")*ISNUMBER(SEARCH(" "&amp;Reconhecimento!$A$5:$A$310," "&amp;$C331))),Reconhecimento!$B$5:$B$310),"Confira: escolha na importação"))</f>
        <v/>
      </c>
      <c r="H331" s="15">
        <f>IF($C331="","",IFERROR(LOOKUP(2,1/((Reconhecimento!$A$5:$A$310&lt;&gt;"")*ISNUMBER(SEARCH(" "&amp;Reconhecimento!$A$5:$A$310," "&amp;$C331))),Reconhecimento!$C$5:$C$310),"—"))</f>
        <v/>
      </c>
      <c r="I331" s="15">
        <f>IF($C331="","",IFERROR(VLOOKUP($G331,Tipos!$A$5:$B$51,2,FALSE),"—"))</f>
        <v/>
      </c>
      <c r="J331" s="15">
        <f>IF(COUNTA($A331:$C331)=0,"",IF($A331="","Falta a Área",IF($B331="","Falta o Setor",IF($C331="","Falta o nome",IF(COUNTIF($C$6:$C$403,$C331)&gt;1,"Nome repetido: use 01, 02… ou a Qtd",IF(LEFT($G331,7)="Confira","Confira o tipo na importação","OK"))))))</f>
        <v/>
      </c>
    </row>
    <row r="332">
      <c r="A332" s="16" t="n"/>
      <c r="B332" s="16" t="n"/>
      <c r="C332" s="16" t="n"/>
      <c r="D332" s="16" t="n"/>
      <c r="E332" s="17" t="n"/>
      <c r="F332" s="16" t="n"/>
      <c r="G332" s="15">
        <f>IF($C332="","",IFERROR(LOOKUP(2,1/((Reconhecimento!$A$5:$A$310&lt;&gt;"")*ISNUMBER(SEARCH(" "&amp;Reconhecimento!$A$5:$A$310," "&amp;$C332))),Reconhecimento!$B$5:$B$310),"Confira: escolha na importação"))</f>
        <v/>
      </c>
      <c r="H332" s="15">
        <f>IF($C332="","",IFERROR(LOOKUP(2,1/((Reconhecimento!$A$5:$A$310&lt;&gt;"")*ISNUMBER(SEARCH(" "&amp;Reconhecimento!$A$5:$A$310," "&amp;$C332))),Reconhecimento!$C$5:$C$310),"—"))</f>
        <v/>
      </c>
      <c r="I332" s="15">
        <f>IF($C332="","",IFERROR(VLOOKUP($G332,Tipos!$A$5:$B$51,2,FALSE),"—"))</f>
        <v/>
      </c>
      <c r="J332" s="15">
        <f>IF(COUNTA($A332:$C332)=0,"",IF($A332="","Falta a Área",IF($B332="","Falta o Setor",IF($C332="","Falta o nome",IF(COUNTIF($C$6:$C$403,$C332)&gt;1,"Nome repetido: use 01, 02… ou a Qtd",IF(LEFT($G332,7)="Confira","Confira o tipo na importação","OK"))))))</f>
        <v/>
      </c>
    </row>
    <row r="333">
      <c r="A333" s="16" t="n"/>
      <c r="B333" s="16" t="n"/>
      <c r="C333" s="16" t="n"/>
      <c r="D333" s="16" t="n"/>
      <c r="E333" s="17" t="n"/>
      <c r="F333" s="16" t="n"/>
      <c r="G333" s="15">
        <f>IF($C333="","",IFERROR(LOOKUP(2,1/((Reconhecimento!$A$5:$A$310&lt;&gt;"")*ISNUMBER(SEARCH(" "&amp;Reconhecimento!$A$5:$A$310," "&amp;$C333))),Reconhecimento!$B$5:$B$310),"Confira: escolha na importação"))</f>
        <v/>
      </c>
      <c r="H333" s="15">
        <f>IF($C333="","",IFERROR(LOOKUP(2,1/((Reconhecimento!$A$5:$A$310&lt;&gt;"")*ISNUMBER(SEARCH(" "&amp;Reconhecimento!$A$5:$A$310," "&amp;$C333))),Reconhecimento!$C$5:$C$310),"—"))</f>
        <v/>
      </c>
      <c r="I333" s="15">
        <f>IF($C333="","",IFERROR(VLOOKUP($G333,Tipos!$A$5:$B$51,2,FALSE),"—"))</f>
        <v/>
      </c>
      <c r="J333" s="15">
        <f>IF(COUNTA($A333:$C333)=0,"",IF($A333="","Falta a Área",IF($B333="","Falta o Setor",IF($C333="","Falta o nome",IF(COUNTIF($C$6:$C$403,$C333)&gt;1,"Nome repetido: use 01, 02… ou a Qtd",IF(LEFT($G333,7)="Confira","Confira o tipo na importação","OK"))))))</f>
        <v/>
      </c>
    </row>
    <row r="334">
      <c r="A334" s="16" t="n"/>
      <c r="B334" s="16" t="n"/>
      <c r="C334" s="16" t="n"/>
      <c r="D334" s="16" t="n"/>
      <c r="E334" s="17" t="n"/>
      <c r="F334" s="16" t="n"/>
      <c r="G334" s="15">
        <f>IF($C334="","",IFERROR(LOOKUP(2,1/((Reconhecimento!$A$5:$A$310&lt;&gt;"")*ISNUMBER(SEARCH(" "&amp;Reconhecimento!$A$5:$A$310," "&amp;$C334))),Reconhecimento!$B$5:$B$310),"Confira: escolha na importação"))</f>
        <v/>
      </c>
      <c r="H334" s="15">
        <f>IF($C334="","",IFERROR(LOOKUP(2,1/((Reconhecimento!$A$5:$A$310&lt;&gt;"")*ISNUMBER(SEARCH(" "&amp;Reconhecimento!$A$5:$A$310," "&amp;$C334))),Reconhecimento!$C$5:$C$310),"—"))</f>
        <v/>
      </c>
      <c r="I334" s="15">
        <f>IF($C334="","",IFERROR(VLOOKUP($G334,Tipos!$A$5:$B$51,2,FALSE),"—"))</f>
        <v/>
      </c>
      <c r="J334" s="15">
        <f>IF(COUNTA($A334:$C334)=0,"",IF($A334="","Falta a Área",IF($B334="","Falta o Setor",IF($C334="","Falta o nome",IF(COUNTIF($C$6:$C$403,$C334)&gt;1,"Nome repetido: use 01, 02… ou a Qtd",IF(LEFT($G334,7)="Confira","Confira o tipo na importação","OK"))))))</f>
        <v/>
      </c>
    </row>
    <row r="335">
      <c r="A335" s="16" t="n"/>
      <c r="B335" s="16" t="n"/>
      <c r="C335" s="16" t="n"/>
      <c r="D335" s="16" t="n"/>
      <c r="E335" s="17" t="n"/>
      <c r="F335" s="16" t="n"/>
      <c r="G335" s="15">
        <f>IF($C335="","",IFERROR(LOOKUP(2,1/((Reconhecimento!$A$5:$A$310&lt;&gt;"")*ISNUMBER(SEARCH(" "&amp;Reconhecimento!$A$5:$A$310," "&amp;$C335))),Reconhecimento!$B$5:$B$310),"Confira: escolha na importação"))</f>
        <v/>
      </c>
      <c r="H335" s="15">
        <f>IF($C335="","",IFERROR(LOOKUP(2,1/((Reconhecimento!$A$5:$A$310&lt;&gt;"")*ISNUMBER(SEARCH(" "&amp;Reconhecimento!$A$5:$A$310," "&amp;$C335))),Reconhecimento!$C$5:$C$310),"—"))</f>
        <v/>
      </c>
      <c r="I335" s="15">
        <f>IF($C335="","",IFERROR(VLOOKUP($G335,Tipos!$A$5:$B$51,2,FALSE),"—"))</f>
        <v/>
      </c>
      <c r="J335" s="15">
        <f>IF(COUNTA($A335:$C335)=0,"",IF($A335="","Falta a Área",IF($B335="","Falta o Setor",IF($C335="","Falta o nome",IF(COUNTIF($C$6:$C$403,$C335)&gt;1,"Nome repetido: use 01, 02… ou a Qtd",IF(LEFT($G335,7)="Confira","Confira o tipo na importação","OK"))))))</f>
        <v/>
      </c>
    </row>
    <row r="336">
      <c r="A336" s="16" t="n"/>
      <c r="B336" s="16" t="n"/>
      <c r="C336" s="16" t="n"/>
      <c r="D336" s="16" t="n"/>
      <c r="E336" s="17" t="n"/>
      <c r="F336" s="16" t="n"/>
      <c r="G336" s="15">
        <f>IF($C336="","",IFERROR(LOOKUP(2,1/((Reconhecimento!$A$5:$A$310&lt;&gt;"")*ISNUMBER(SEARCH(" "&amp;Reconhecimento!$A$5:$A$310," "&amp;$C336))),Reconhecimento!$B$5:$B$310),"Confira: escolha na importação"))</f>
        <v/>
      </c>
      <c r="H336" s="15">
        <f>IF($C336="","",IFERROR(LOOKUP(2,1/((Reconhecimento!$A$5:$A$310&lt;&gt;"")*ISNUMBER(SEARCH(" "&amp;Reconhecimento!$A$5:$A$310," "&amp;$C336))),Reconhecimento!$C$5:$C$310),"—"))</f>
        <v/>
      </c>
      <c r="I336" s="15">
        <f>IF($C336="","",IFERROR(VLOOKUP($G336,Tipos!$A$5:$B$51,2,FALSE),"—"))</f>
        <v/>
      </c>
      <c r="J336" s="15">
        <f>IF(COUNTA($A336:$C336)=0,"",IF($A336="","Falta a Área",IF($B336="","Falta o Setor",IF($C336="","Falta o nome",IF(COUNTIF($C$6:$C$403,$C336)&gt;1,"Nome repetido: use 01, 02… ou a Qtd",IF(LEFT($G336,7)="Confira","Confira o tipo na importação","OK"))))))</f>
        <v/>
      </c>
    </row>
    <row r="337">
      <c r="A337" s="16" t="n"/>
      <c r="B337" s="16" t="n"/>
      <c r="C337" s="16" t="n"/>
      <c r="D337" s="16" t="n"/>
      <c r="E337" s="17" t="n"/>
      <c r="F337" s="16" t="n"/>
      <c r="G337" s="15">
        <f>IF($C337="","",IFERROR(LOOKUP(2,1/((Reconhecimento!$A$5:$A$310&lt;&gt;"")*ISNUMBER(SEARCH(" "&amp;Reconhecimento!$A$5:$A$310," "&amp;$C337))),Reconhecimento!$B$5:$B$310),"Confira: escolha na importação"))</f>
        <v/>
      </c>
      <c r="H337" s="15">
        <f>IF($C337="","",IFERROR(LOOKUP(2,1/((Reconhecimento!$A$5:$A$310&lt;&gt;"")*ISNUMBER(SEARCH(" "&amp;Reconhecimento!$A$5:$A$310," "&amp;$C337))),Reconhecimento!$C$5:$C$310),"—"))</f>
        <v/>
      </c>
      <c r="I337" s="15">
        <f>IF($C337="","",IFERROR(VLOOKUP($G337,Tipos!$A$5:$B$51,2,FALSE),"—"))</f>
        <v/>
      </c>
      <c r="J337" s="15">
        <f>IF(COUNTA($A337:$C337)=0,"",IF($A337="","Falta a Área",IF($B337="","Falta o Setor",IF($C337="","Falta o nome",IF(COUNTIF($C$6:$C$403,$C337)&gt;1,"Nome repetido: use 01, 02… ou a Qtd",IF(LEFT($G337,7)="Confira","Confira o tipo na importação","OK"))))))</f>
        <v/>
      </c>
    </row>
    <row r="338">
      <c r="A338" s="16" t="n"/>
      <c r="B338" s="16" t="n"/>
      <c r="C338" s="16" t="n"/>
      <c r="D338" s="16" t="n"/>
      <c r="E338" s="17" t="n"/>
      <c r="F338" s="16" t="n"/>
      <c r="G338" s="15">
        <f>IF($C338="","",IFERROR(LOOKUP(2,1/((Reconhecimento!$A$5:$A$310&lt;&gt;"")*ISNUMBER(SEARCH(" "&amp;Reconhecimento!$A$5:$A$310," "&amp;$C338))),Reconhecimento!$B$5:$B$310),"Confira: escolha na importação"))</f>
        <v/>
      </c>
      <c r="H338" s="15">
        <f>IF($C338="","",IFERROR(LOOKUP(2,1/((Reconhecimento!$A$5:$A$310&lt;&gt;"")*ISNUMBER(SEARCH(" "&amp;Reconhecimento!$A$5:$A$310," "&amp;$C338))),Reconhecimento!$C$5:$C$310),"—"))</f>
        <v/>
      </c>
      <c r="I338" s="15">
        <f>IF($C338="","",IFERROR(VLOOKUP($G338,Tipos!$A$5:$B$51,2,FALSE),"—"))</f>
        <v/>
      </c>
      <c r="J338" s="15">
        <f>IF(COUNTA($A338:$C338)=0,"",IF($A338="","Falta a Área",IF($B338="","Falta o Setor",IF($C338="","Falta o nome",IF(COUNTIF($C$6:$C$403,$C338)&gt;1,"Nome repetido: use 01, 02… ou a Qtd",IF(LEFT($G338,7)="Confira","Confira o tipo na importação","OK"))))))</f>
        <v/>
      </c>
    </row>
    <row r="339">
      <c r="A339" s="16" t="n"/>
      <c r="B339" s="16" t="n"/>
      <c r="C339" s="16" t="n"/>
      <c r="D339" s="16" t="n"/>
      <c r="E339" s="17" t="n"/>
      <c r="F339" s="16" t="n"/>
      <c r="G339" s="15">
        <f>IF($C339="","",IFERROR(LOOKUP(2,1/((Reconhecimento!$A$5:$A$310&lt;&gt;"")*ISNUMBER(SEARCH(" "&amp;Reconhecimento!$A$5:$A$310," "&amp;$C339))),Reconhecimento!$B$5:$B$310),"Confira: escolha na importação"))</f>
        <v/>
      </c>
      <c r="H339" s="15">
        <f>IF($C339="","",IFERROR(LOOKUP(2,1/((Reconhecimento!$A$5:$A$310&lt;&gt;"")*ISNUMBER(SEARCH(" "&amp;Reconhecimento!$A$5:$A$310," "&amp;$C339))),Reconhecimento!$C$5:$C$310),"—"))</f>
        <v/>
      </c>
      <c r="I339" s="15">
        <f>IF($C339="","",IFERROR(VLOOKUP($G339,Tipos!$A$5:$B$51,2,FALSE),"—"))</f>
        <v/>
      </c>
      <c r="J339" s="15">
        <f>IF(COUNTA($A339:$C339)=0,"",IF($A339="","Falta a Área",IF($B339="","Falta o Setor",IF($C339="","Falta o nome",IF(COUNTIF($C$6:$C$403,$C339)&gt;1,"Nome repetido: use 01, 02… ou a Qtd",IF(LEFT($G339,7)="Confira","Confira o tipo na importação","OK"))))))</f>
        <v/>
      </c>
    </row>
    <row r="340">
      <c r="A340" s="16" t="n"/>
      <c r="B340" s="16" t="n"/>
      <c r="C340" s="16" t="n"/>
      <c r="D340" s="16" t="n"/>
      <c r="E340" s="17" t="n"/>
      <c r="F340" s="16" t="n"/>
      <c r="G340" s="15">
        <f>IF($C340="","",IFERROR(LOOKUP(2,1/((Reconhecimento!$A$5:$A$310&lt;&gt;"")*ISNUMBER(SEARCH(" "&amp;Reconhecimento!$A$5:$A$310," "&amp;$C340))),Reconhecimento!$B$5:$B$310),"Confira: escolha na importação"))</f>
        <v/>
      </c>
      <c r="H340" s="15">
        <f>IF($C340="","",IFERROR(LOOKUP(2,1/((Reconhecimento!$A$5:$A$310&lt;&gt;"")*ISNUMBER(SEARCH(" "&amp;Reconhecimento!$A$5:$A$310," "&amp;$C340))),Reconhecimento!$C$5:$C$310),"—"))</f>
        <v/>
      </c>
      <c r="I340" s="15">
        <f>IF($C340="","",IFERROR(VLOOKUP($G340,Tipos!$A$5:$B$51,2,FALSE),"—"))</f>
        <v/>
      </c>
      <c r="J340" s="15">
        <f>IF(COUNTA($A340:$C340)=0,"",IF($A340="","Falta a Área",IF($B340="","Falta o Setor",IF($C340="","Falta o nome",IF(COUNTIF($C$6:$C$403,$C340)&gt;1,"Nome repetido: use 01, 02… ou a Qtd",IF(LEFT($G340,7)="Confira","Confira o tipo na importação","OK"))))))</f>
        <v/>
      </c>
    </row>
    <row r="341">
      <c r="A341" s="16" t="n"/>
      <c r="B341" s="16" t="n"/>
      <c r="C341" s="16" t="n"/>
      <c r="D341" s="16" t="n"/>
      <c r="E341" s="17" t="n"/>
      <c r="F341" s="16" t="n"/>
      <c r="G341" s="15">
        <f>IF($C341="","",IFERROR(LOOKUP(2,1/((Reconhecimento!$A$5:$A$310&lt;&gt;"")*ISNUMBER(SEARCH(" "&amp;Reconhecimento!$A$5:$A$310," "&amp;$C341))),Reconhecimento!$B$5:$B$310),"Confira: escolha na importação"))</f>
        <v/>
      </c>
      <c r="H341" s="15">
        <f>IF($C341="","",IFERROR(LOOKUP(2,1/((Reconhecimento!$A$5:$A$310&lt;&gt;"")*ISNUMBER(SEARCH(" "&amp;Reconhecimento!$A$5:$A$310," "&amp;$C341))),Reconhecimento!$C$5:$C$310),"—"))</f>
        <v/>
      </c>
      <c r="I341" s="15">
        <f>IF($C341="","",IFERROR(VLOOKUP($G341,Tipos!$A$5:$B$51,2,FALSE),"—"))</f>
        <v/>
      </c>
      <c r="J341" s="15">
        <f>IF(COUNTA($A341:$C341)=0,"",IF($A341="","Falta a Área",IF($B341="","Falta o Setor",IF($C341="","Falta o nome",IF(COUNTIF($C$6:$C$403,$C341)&gt;1,"Nome repetido: use 01, 02… ou a Qtd",IF(LEFT($G341,7)="Confira","Confira o tipo na importação","OK"))))))</f>
        <v/>
      </c>
    </row>
    <row r="342">
      <c r="A342" s="16" t="n"/>
      <c r="B342" s="16" t="n"/>
      <c r="C342" s="16" t="n"/>
      <c r="D342" s="16" t="n"/>
      <c r="E342" s="17" t="n"/>
      <c r="F342" s="16" t="n"/>
      <c r="G342" s="15">
        <f>IF($C342="","",IFERROR(LOOKUP(2,1/((Reconhecimento!$A$5:$A$310&lt;&gt;"")*ISNUMBER(SEARCH(" "&amp;Reconhecimento!$A$5:$A$310," "&amp;$C342))),Reconhecimento!$B$5:$B$310),"Confira: escolha na importação"))</f>
        <v/>
      </c>
      <c r="H342" s="15">
        <f>IF($C342="","",IFERROR(LOOKUP(2,1/((Reconhecimento!$A$5:$A$310&lt;&gt;"")*ISNUMBER(SEARCH(" "&amp;Reconhecimento!$A$5:$A$310," "&amp;$C342))),Reconhecimento!$C$5:$C$310),"—"))</f>
        <v/>
      </c>
      <c r="I342" s="15">
        <f>IF($C342="","",IFERROR(VLOOKUP($G342,Tipos!$A$5:$B$51,2,FALSE),"—"))</f>
        <v/>
      </c>
      <c r="J342" s="15">
        <f>IF(COUNTA($A342:$C342)=0,"",IF($A342="","Falta a Área",IF($B342="","Falta o Setor",IF($C342="","Falta o nome",IF(COUNTIF($C$6:$C$403,$C342)&gt;1,"Nome repetido: use 01, 02… ou a Qtd",IF(LEFT($G342,7)="Confira","Confira o tipo na importação","OK"))))))</f>
        <v/>
      </c>
    </row>
    <row r="343">
      <c r="A343" s="16" t="n"/>
      <c r="B343" s="16" t="n"/>
      <c r="C343" s="16" t="n"/>
      <c r="D343" s="16" t="n"/>
      <c r="E343" s="17" t="n"/>
      <c r="F343" s="16" t="n"/>
      <c r="G343" s="15">
        <f>IF($C343="","",IFERROR(LOOKUP(2,1/((Reconhecimento!$A$5:$A$310&lt;&gt;"")*ISNUMBER(SEARCH(" "&amp;Reconhecimento!$A$5:$A$310," "&amp;$C343))),Reconhecimento!$B$5:$B$310),"Confira: escolha na importação"))</f>
        <v/>
      </c>
      <c r="H343" s="15">
        <f>IF($C343="","",IFERROR(LOOKUP(2,1/((Reconhecimento!$A$5:$A$310&lt;&gt;"")*ISNUMBER(SEARCH(" "&amp;Reconhecimento!$A$5:$A$310," "&amp;$C343))),Reconhecimento!$C$5:$C$310),"—"))</f>
        <v/>
      </c>
      <c r="I343" s="15">
        <f>IF($C343="","",IFERROR(VLOOKUP($G343,Tipos!$A$5:$B$51,2,FALSE),"—"))</f>
        <v/>
      </c>
      <c r="J343" s="15">
        <f>IF(COUNTA($A343:$C343)=0,"",IF($A343="","Falta a Área",IF($B343="","Falta o Setor",IF($C343="","Falta o nome",IF(COUNTIF($C$6:$C$403,$C343)&gt;1,"Nome repetido: use 01, 02… ou a Qtd",IF(LEFT($G343,7)="Confira","Confira o tipo na importação","OK"))))))</f>
        <v/>
      </c>
    </row>
    <row r="344">
      <c r="A344" s="16" t="n"/>
      <c r="B344" s="16" t="n"/>
      <c r="C344" s="16" t="n"/>
      <c r="D344" s="16" t="n"/>
      <c r="E344" s="17" t="n"/>
      <c r="F344" s="16" t="n"/>
      <c r="G344" s="15">
        <f>IF($C344="","",IFERROR(LOOKUP(2,1/((Reconhecimento!$A$5:$A$310&lt;&gt;"")*ISNUMBER(SEARCH(" "&amp;Reconhecimento!$A$5:$A$310," "&amp;$C344))),Reconhecimento!$B$5:$B$310),"Confira: escolha na importação"))</f>
        <v/>
      </c>
      <c r="H344" s="15">
        <f>IF($C344="","",IFERROR(LOOKUP(2,1/((Reconhecimento!$A$5:$A$310&lt;&gt;"")*ISNUMBER(SEARCH(" "&amp;Reconhecimento!$A$5:$A$310," "&amp;$C344))),Reconhecimento!$C$5:$C$310),"—"))</f>
        <v/>
      </c>
      <c r="I344" s="15">
        <f>IF($C344="","",IFERROR(VLOOKUP($G344,Tipos!$A$5:$B$51,2,FALSE),"—"))</f>
        <v/>
      </c>
      <c r="J344" s="15">
        <f>IF(COUNTA($A344:$C344)=0,"",IF($A344="","Falta a Área",IF($B344="","Falta o Setor",IF($C344="","Falta o nome",IF(COUNTIF($C$6:$C$403,$C344)&gt;1,"Nome repetido: use 01, 02… ou a Qtd",IF(LEFT($G344,7)="Confira","Confira o tipo na importação","OK"))))))</f>
        <v/>
      </c>
    </row>
    <row r="345">
      <c r="A345" s="16" t="n"/>
      <c r="B345" s="16" t="n"/>
      <c r="C345" s="16" t="n"/>
      <c r="D345" s="16" t="n"/>
      <c r="E345" s="17" t="n"/>
      <c r="F345" s="16" t="n"/>
      <c r="G345" s="15">
        <f>IF($C345="","",IFERROR(LOOKUP(2,1/((Reconhecimento!$A$5:$A$310&lt;&gt;"")*ISNUMBER(SEARCH(" "&amp;Reconhecimento!$A$5:$A$310," "&amp;$C345))),Reconhecimento!$B$5:$B$310),"Confira: escolha na importação"))</f>
        <v/>
      </c>
      <c r="H345" s="15">
        <f>IF($C345="","",IFERROR(LOOKUP(2,1/((Reconhecimento!$A$5:$A$310&lt;&gt;"")*ISNUMBER(SEARCH(" "&amp;Reconhecimento!$A$5:$A$310," "&amp;$C345))),Reconhecimento!$C$5:$C$310),"—"))</f>
        <v/>
      </c>
      <c r="I345" s="15">
        <f>IF($C345="","",IFERROR(VLOOKUP($G345,Tipos!$A$5:$B$51,2,FALSE),"—"))</f>
        <v/>
      </c>
      <c r="J345" s="15">
        <f>IF(COUNTA($A345:$C345)=0,"",IF($A345="","Falta a Área",IF($B345="","Falta o Setor",IF($C345="","Falta o nome",IF(COUNTIF($C$6:$C$403,$C345)&gt;1,"Nome repetido: use 01, 02… ou a Qtd",IF(LEFT($G345,7)="Confira","Confira o tipo na importação","OK"))))))</f>
        <v/>
      </c>
    </row>
    <row r="346">
      <c r="A346" s="16" t="n"/>
      <c r="B346" s="16" t="n"/>
      <c r="C346" s="16" t="n"/>
      <c r="D346" s="16" t="n"/>
      <c r="E346" s="17" t="n"/>
      <c r="F346" s="16" t="n"/>
      <c r="G346" s="15">
        <f>IF($C346="","",IFERROR(LOOKUP(2,1/((Reconhecimento!$A$5:$A$310&lt;&gt;"")*ISNUMBER(SEARCH(" "&amp;Reconhecimento!$A$5:$A$310," "&amp;$C346))),Reconhecimento!$B$5:$B$310),"Confira: escolha na importação"))</f>
        <v/>
      </c>
      <c r="H346" s="15">
        <f>IF($C346="","",IFERROR(LOOKUP(2,1/((Reconhecimento!$A$5:$A$310&lt;&gt;"")*ISNUMBER(SEARCH(" "&amp;Reconhecimento!$A$5:$A$310," "&amp;$C346))),Reconhecimento!$C$5:$C$310),"—"))</f>
        <v/>
      </c>
      <c r="I346" s="15">
        <f>IF($C346="","",IFERROR(VLOOKUP($G346,Tipos!$A$5:$B$51,2,FALSE),"—"))</f>
        <v/>
      </c>
      <c r="J346" s="15">
        <f>IF(COUNTA($A346:$C346)=0,"",IF($A346="","Falta a Área",IF($B346="","Falta o Setor",IF($C346="","Falta o nome",IF(COUNTIF($C$6:$C$403,$C346)&gt;1,"Nome repetido: use 01, 02… ou a Qtd",IF(LEFT($G346,7)="Confira","Confira o tipo na importação","OK"))))))</f>
        <v/>
      </c>
    </row>
    <row r="347">
      <c r="A347" s="16" t="n"/>
      <c r="B347" s="16" t="n"/>
      <c r="C347" s="16" t="n"/>
      <c r="D347" s="16" t="n"/>
      <c r="E347" s="17" t="n"/>
      <c r="F347" s="16" t="n"/>
      <c r="G347" s="15">
        <f>IF($C347="","",IFERROR(LOOKUP(2,1/((Reconhecimento!$A$5:$A$310&lt;&gt;"")*ISNUMBER(SEARCH(" "&amp;Reconhecimento!$A$5:$A$310," "&amp;$C347))),Reconhecimento!$B$5:$B$310),"Confira: escolha na importação"))</f>
        <v/>
      </c>
      <c r="H347" s="15">
        <f>IF($C347="","",IFERROR(LOOKUP(2,1/((Reconhecimento!$A$5:$A$310&lt;&gt;"")*ISNUMBER(SEARCH(" "&amp;Reconhecimento!$A$5:$A$310," "&amp;$C347))),Reconhecimento!$C$5:$C$310),"—"))</f>
        <v/>
      </c>
      <c r="I347" s="15">
        <f>IF($C347="","",IFERROR(VLOOKUP($G347,Tipos!$A$5:$B$51,2,FALSE),"—"))</f>
        <v/>
      </c>
      <c r="J347" s="15">
        <f>IF(COUNTA($A347:$C347)=0,"",IF($A347="","Falta a Área",IF($B347="","Falta o Setor",IF($C347="","Falta o nome",IF(COUNTIF($C$6:$C$403,$C347)&gt;1,"Nome repetido: use 01, 02… ou a Qtd",IF(LEFT($G347,7)="Confira","Confira o tipo na importação","OK"))))))</f>
        <v/>
      </c>
    </row>
    <row r="348">
      <c r="A348" s="16" t="n"/>
      <c r="B348" s="16" t="n"/>
      <c r="C348" s="16" t="n"/>
      <c r="D348" s="16" t="n"/>
      <c r="E348" s="17" t="n"/>
      <c r="F348" s="16" t="n"/>
      <c r="G348" s="15">
        <f>IF($C348="","",IFERROR(LOOKUP(2,1/((Reconhecimento!$A$5:$A$310&lt;&gt;"")*ISNUMBER(SEARCH(" "&amp;Reconhecimento!$A$5:$A$310," "&amp;$C348))),Reconhecimento!$B$5:$B$310),"Confira: escolha na importação"))</f>
        <v/>
      </c>
      <c r="H348" s="15">
        <f>IF($C348="","",IFERROR(LOOKUP(2,1/((Reconhecimento!$A$5:$A$310&lt;&gt;"")*ISNUMBER(SEARCH(" "&amp;Reconhecimento!$A$5:$A$310," "&amp;$C348))),Reconhecimento!$C$5:$C$310),"—"))</f>
        <v/>
      </c>
      <c r="I348" s="15">
        <f>IF($C348="","",IFERROR(VLOOKUP($G348,Tipos!$A$5:$B$51,2,FALSE),"—"))</f>
        <v/>
      </c>
      <c r="J348" s="15">
        <f>IF(COUNTA($A348:$C348)=0,"",IF($A348="","Falta a Área",IF($B348="","Falta o Setor",IF($C348="","Falta o nome",IF(COUNTIF($C$6:$C$403,$C348)&gt;1,"Nome repetido: use 01, 02… ou a Qtd",IF(LEFT($G348,7)="Confira","Confira o tipo na importação","OK"))))))</f>
        <v/>
      </c>
    </row>
    <row r="349">
      <c r="A349" s="16" t="n"/>
      <c r="B349" s="16" t="n"/>
      <c r="C349" s="16" t="n"/>
      <c r="D349" s="16" t="n"/>
      <c r="E349" s="17" t="n"/>
      <c r="F349" s="16" t="n"/>
      <c r="G349" s="15">
        <f>IF($C349="","",IFERROR(LOOKUP(2,1/((Reconhecimento!$A$5:$A$310&lt;&gt;"")*ISNUMBER(SEARCH(" "&amp;Reconhecimento!$A$5:$A$310," "&amp;$C349))),Reconhecimento!$B$5:$B$310),"Confira: escolha na importação"))</f>
        <v/>
      </c>
      <c r="H349" s="15">
        <f>IF($C349="","",IFERROR(LOOKUP(2,1/((Reconhecimento!$A$5:$A$310&lt;&gt;"")*ISNUMBER(SEARCH(" "&amp;Reconhecimento!$A$5:$A$310," "&amp;$C349))),Reconhecimento!$C$5:$C$310),"—"))</f>
        <v/>
      </c>
      <c r="I349" s="15">
        <f>IF($C349="","",IFERROR(VLOOKUP($G349,Tipos!$A$5:$B$51,2,FALSE),"—"))</f>
        <v/>
      </c>
      <c r="J349" s="15">
        <f>IF(COUNTA($A349:$C349)=0,"",IF($A349="","Falta a Área",IF($B349="","Falta o Setor",IF($C349="","Falta o nome",IF(COUNTIF($C$6:$C$403,$C349)&gt;1,"Nome repetido: use 01, 02… ou a Qtd",IF(LEFT($G349,7)="Confira","Confira o tipo na importação","OK"))))))</f>
        <v/>
      </c>
    </row>
    <row r="350">
      <c r="A350" s="16" t="n"/>
      <c r="B350" s="16" t="n"/>
      <c r="C350" s="16" t="n"/>
      <c r="D350" s="16" t="n"/>
      <c r="E350" s="17" t="n"/>
      <c r="F350" s="16" t="n"/>
      <c r="G350" s="15">
        <f>IF($C350="","",IFERROR(LOOKUP(2,1/((Reconhecimento!$A$5:$A$310&lt;&gt;"")*ISNUMBER(SEARCH(" "&amp;Reconhecimento!$A$5:$A$310," "&amp;$C350))),Reconhecimento!$B$5:$B$310),"Confira: escolha na importação"))</f>
        <v/>
      </c>
      <c r="H350" s="15">
        <f>IF($C350="","",IFERROR(LOOKUP(2,1/((Reconhecimento!$A$5:$A$310&lt;&gt;"")*ISNUMBER(SEARCH(" "&amp;Reconhecimento!$A$5:$A$310," "&amp;$C350))),Reconhecimento!$C$5:$C$310),"—"))</f>
        <v/>
      </c>
      <c r="I350" s="15">
        <f>IF($C350="","",IFERROR(VLOOKUP($G350,Tipos!$A$5:$B$51,2,FALSE),"—"))</f>
        <v/>
      </c>
      <c r="J350" s="15">
        <f>IF(COUNTA($A350:$C350)=0,"",IF($A350="","Falta a Área",IF($B350="","Falta o Setor",IF($C350="","Falta o nome",IF(COUNTIF($C$6:$C$403,$C350)&gt;1,"Nome repetido: use 01, 02… ou a Qtd",IF(LEFT($G350,7)="Confira","Confira o tipo na importação","OK"))))))</f>
        <v/>
      </c>
    </row>
    <row r="351">
      <c r="A351" s="16" t="n"/>
      <c r="B351" s="16" t="n"/>
      <c r="C351" s="16" t="n"/>
      <c r="D351" s="16" t="n"/>
      <c r="E351" s="17" t="n"/>
      <c r="F351" s="16" t="n"/>
      <c r="G351" s="15">
        <f>IF($C351="","",IFERROR(LOOKUP(2,1/((Reconhecimento!$A$5:$A$310&lt;&gt;"")*ISNUMBER(SEARCH(" "&amp;Reconhecimento!$A$5:$A$310," "&amp;$C351))),Reconhecimento!$B$5:$B$310),"Confira: escolha na importação"))</f>
        <v/>
      </c>
      <c r="H351" s="15">
        <f>IF($C351="","",IFERROR(LOOKUP(2,1/((Reconhecimento!$A$5:$A$310&lt;&gt;"")*ISNUMBER(SEARCH(" "&amp;Reconhecimento!$A$5:$A$310," "&amp;$C351))),Reconhecimento!$C$5:$C$310),"—"))</f>
        <v/>
      </c>
      <c r="I351" s="15">
        <f>IF($C351="","",IFERROR(VLOOKUP($G351,Tipos!$A$5:$B$51,2,FALSE),"—"))</f>
        <v/>
      </c>
      <c r="J351" s="15">
        <f>IF(COUNTA($A351:$C351)=0,"",IF($A351="","Falta a Área",IF($B351="","Falta o Setor",IF($C351="","Falta o nome",IF(COUNTIF($C$6:$C$403,$C351)&gt;1,"Nome repetido: use 01, 02… ou a Qtd",IF(LEFT($G351,7)="Confira","Confira o tipo na importação","OK"))))))</f>
        <v/>
      </c>
    </row>
    <row r="352">
      <c r="A352" s="16" t="n"/>
      <c r="B352" s="16" t="n"/>
      <c r="C352" s="16" t="n"/>
      <c r="D352" s="16" t="n"/>
      <c r="E352" s="17" t="n"/>
      <c r="F352" s="16" t="n"/>
      <c r="G352" s="15">
        <f>IF($C352="","",IFERROR(LOOKUP(2,1/((Reconhecimento!$A$5:$A$310&lt;&gt;"")*ISNUMBER(SEARCH(" "&amp;Reconhecimento!$A$5:$A$310," "&amp;$C352))),Reconhecimento!$B$5:$B$310),"Confira: escolha na importação"))</f>
        <v/>
      </c>
      <c r="H352" s="15">
        <f>IF($C352="","",IFERROR(LOOKUP(2,1/((Reconhecimento!$A$5:$A$310&lt;&gt;"")*ISNUMBER(SEARCH(" "&amp;Reconhecimento!$A$5:$A$310," "&amp;$C352))),Reconhecimento!$C$5:$C$310),"—"))</f>
        <v/>
      </c>
      <c r="I352" s="15">
        <f>IF($C352="","",IFERROR(VLOOKUP($G352,Tipos!$A$5:$B$51,2,FALSE),"—"))</f>
        <v/>
      </c>
      <c r="J352" s="15">
        <f>IF(COUNTA($A352:$C352)=0,"",IF($A352="","Falta a Área",IF($B352="","Falta o Setor",IF($C352="","Falta o nome",IF(COUNTIF($C$6:$C$403,$C352)&gt;1,"Nome repetido: use 01, 02… ou a Qtd",IF(LEFT($G352,7)="Confira","Confira o tipo na importação","OK"))))))</f>
        <v/>
      </c>
    </row>
    <row r="353">
      <c r="A353" s="16" t="n"/>
      <c r="B353" s="16" t="n"/>
      <c r="C353" s="16" t="n"/>
      <c r="D353" s="16" t="n"/>
      <c r="E353" s="17" t="n"/>
      <c r="F353" s="16" t="n"/>
      <c r="G353" s="15">
        <f>IF($C353="","",IFERROR(LOOKUP(2,1/((Reconhecimento!$A$5:$A$310&lt;&gt;"")*ISNUMBER(SEARCH(" "&amp;Reconhecimento!$A$5:$A$310," "&amp;$C353))),Reconhecimento!$B$5:$B$310),"Confira: escolha na importação"))</f>
        <v/>
      </c>
      <c r="H353" s="15">
        <f>IF($C353="","",IFERROR(LOOKUP(2,1/((Reconhecimento!$A$5:$A$310&lt;&gt;"")*ISNUMBER(SEARCH(" "&amp;Reconhecimento!$A$5:$A$310," "&amp;$C353))),Reconhecimento!$C$5:$C$310),"—"))</f>
        <v/>
      </c>
      <c r="I353" s="15">
        <f>IF($C353="","",IFERROR(VLOOKUP($G353,Tipos!$A$5:$B$51,2,FALSE),"—"))</f>
        <v/>
      </c>
      <c r="J353" s="15">
        <f>IF(COUNTA($A353:$C353)=0,"",IF($A353="","Falta a Área",IF($B353="","Falta o Setor",IF($C353="","Falta o nome",IF(COUNTIF($C$6:$C$403,$C353)&gt;1,"Nome repetido: use 01, 02… ou a Qtd",IF(LEFT($G353,7)="Confira","Confira o tipo na importação","OK"))))))</f>
        <v/>
      </c>
    </row>
    <row r="354">
      <c r="A354" s="16" t="n"/>
      <c r="B354" s="16" t="n"/>
      <c r="C354" s="16" t="n"/>
      <c r="D354" s="16" t="n"/>
      <c r="E354" s="17" t="n"/>
      <c r="F354" s="16" t="n"/>
      <c r="G354" s="15">
        <f>IF($C354="","",IFERROR(LOOKUP(2,1/((Reconhecimento!$A$5:$A$310&lt;&gt;"")*ISNUMBER(SEARCH(" "&amp;Reconhecimento!$A$5:$A$310," "&amp;$C354))),Reconhecimento!$B$5:$B$310),"Confira: escolha na importação"))</f>
        <v/>
      </c>
      <c r="H354" s="15">
        <f>IF($C354="","",IFERROR(LOOKUP(2,1/((Reconhecimento!$A$5:$A$310&lt;&gt;"")*ISNUMBER(SEARCH(" "&amp;Reconhecimento!$A$5:$A$310," "&amp;$C354))),Reconhecimento!$C$5:$C$310),"—"))</f>
        <v/>
      </c>
      <c r="I354" s="15">
        <f>IF($C354="","",IFERROR(VLOOKUP($G354,Tipos!$A$5:$B$51,2,FALSE),"—"))</f>
        <v/>
      </c>
      <c r="J354" s="15">
        <f>IF(COUNTA($A354:$C354)=0,"",IF($A354="","Falta a Área",IF($B354="","Falta o Setor",IF($C354="","Falta o nome",IF(COUNTIF($C$6:$C$403,$C354)&gt;1,"Nome repetido: use 01, 02… ou a Qtd",IF(LEFT($G354,7)="Confira","Confira o tipo na importação","OK"))))))</f>
        <v/>
      </c>
    </row>
    <row r="355">
      <c r="A355" s="16" t="n"/>
      <c r="B355" s="16" t="n"/>
      <c r="C355" s="16" t="n"/>
      <c r="D355" s="16" t="n"/>
      <c r="E355" s="17" t="n"/>
      <c r="F355" s="16" t="n"/>
      <c r="G355" s="15">
        <f>IF($C355="","",IFERROR(LOOKUP(2,1/((Reconhecimento!$A$5:$A$310&lt;&gt;"")*ISNUMBER(SEARCH(" "&amp;Reconhecimento!$A$5:$A$310," "&amp;$C355))),Reconhecimento!$B$5:$B$310),"Confira: escolha na importação"))</f>
        <v/>
      </c>
      <c r="H355" s="15">
        <f>IF($C355="","",IFERROR(LOOKUP(2,1/((Reconhecimento!$A$5:$A$310&lt;&gt;"")*ISNUMBER(SEARCH(" "&amp;Reconhecimento!$A$5:$A$310," "&amp;$C355))),Reconhecimento!$C$5:$C$310),"—"))</f>
        <v/>
      </c>
      <c r="I355" s="15">
        <f>IF($C355="","",IFERROR(VLOOKUP($G355,Tipos!$A$5:$B$51,2,FALSE),"—"))</f>
        <v/>
      </c>
      <c r="J355" s="15">
        <f>IF(COUNTA($A355:$C355)=0,"",IF($A355="","Falta a Área",IF($B355="","Falta o Setor",IF($C355="","Falta o nome",IF(COUNTIF($C$6:$C$403,$C355)&gt;1,"Nome repetido: use 01, 02… ou a Qtd",IF(LEFT($G355,7)="Confira","Confira o tipo na importação","OK"))))))</f>
        <v/>
      </c>
    </row>
    <row r="356">
      <c r="A356" s="16" t="n"/>
      <c r="B356" s="16" t="n"/>
      <c r="C356" s="16" t="n"/>
      <c r="D356" s="16" t="n"/>
      <c r="E356" s="17" t="n"/>
      <c r="F356" s="16" t="n"/>
      <c r="G356" s="15">
        <f>IF($C356="","",IFERROR(LOOKUP(2,1/((Reconhecimento!$A$5:$A$310&lt;&gt;"")*ISNUMBER(SEARCH(" "&amp;Reconhecimento!$A$5:$A$310," "&amp;$C356))),Reconhecimento!$B$5:$B$310),"Confira: escolha na importação"))</f>
        <v/>
      </c>
      <c r="H356" s="15">
        <f>IF($C356="","",IFERROR(LOOKUP(2,1/((Reconhecimento!$A$5:$A$310&lt;&gt;"")*ISNUMBER(SEARCH(" "&amp;Reconhecimento!$A$5:$A$310," "&amp;$C356))),Reconhecimento!$C$5:$C$310),"—"))</f>
        <v/>
      </c>
      <c r="I356" s="15">
        <f>IF($C356="","",IFERROR(VLOOKUP($G356,Tipos!$A$5:$B$51,2,FALSE),"—"))</f>
        <v/>
      </c>
      <c r="J356" s="15">
        <f>IF(COUNTA($A356:$C356)=0,"",IF($A356="","Falta a Área",IF($B356="","Falta o Setor",IF($C356="","Falta o nome",IF(COUNTIF($C$6:$C$403,$C356)&gt;1,"Nome repetido: use 01, 02… ou a Qtd",IF(LEFT($G356,7)="Confira","Confira o tipo na importação","OK"))))))</f>
        <v/>
      </c>
    </row>
    <row r="357">
      <c r="A357" s="16" t="n"/>
      <c r="B357" s="16" t="n"/>
      <c r="C357" s="16" t="n"/>
      <c r="D357" s="16" t="n"/>
      <c r="E357" s="17" t="n"/>
      <c r="F357" s="16" t="n"/>
      <c r="G357" s="15">
        <f>IF($C357="","",IFERROR(LOOKUP(2,1/((Reconhecimento!$A$5:$A$310&lt;&gt;"")*ISNUMBER(SEARCH(" "&amp;Reconhecimento!$A$5:$A$310," "&amp;$C357))),Reconhecimento!$B$5:$B$310),"Confira: escolha na importação"))</f>
        <v/>
      </c>
      <c r="H357" s="15">
        <f>IF($C357="","",IFERROR(LOOKUP(2,1/((Reconhecimento!$A$5:$A$310&lt;&gt;"")*ISNUMBER(SEARCH(" "&amp;Reconhecimento!$A$5:$A$310," "&amp;$C357))),Reconhecimento!$C$5:$C$310),"—"))</f>
        <v/>
      </c>
      <c r="I357" s="15">
        <f>IF($C357="","",IFERROR(VLOOKUP($G357,Tipos!$A$5:$B$51,2,FALSE),"—"))</f>
        <v/>
      </c>
      <c r="J357" s="15">
        <f>IF(COUNTA($A357:$C357)=0,"",IF($A357="","Falta a Área",IF($B357="","Falta o Setor",IF($C357="","Falta o nome",IF(COUNTIF($C$6:$C$403,$C357)&gt;1,"Nome repetido: use 01, 02… ou a Qtd",IF(LEFT($G357,7)="Confira","Confira o tipo na importação","OK"))))))</f>
        <v/>
      </c>
    </row>
    <row r="358">
      <c r="A358" s="16" t="n"/>
      <c r="B358" s="16" t="n"/>
      <c r="C358" s="16" t="n"/>
      <c r="D358" s="16" t="n"/>
      <c r="E358" s="17" t="n"/>
      <c r="F358" s="16" t="n"/>
      <c r="G358" s="15">
        <f>IF($C358="","",IFERROR(LOOKUP(2,1/((Reconhecimento!$A$5:$A$310&lt;&gt;"")*ISNUMBER(SEARCH(" "&amp;Reconhecimento!$A$5:$A$310," "&amp;$C358))),Reconhecimento!$B$5:$B$310),"Confira: escolha na importação"))</f>
        <v/>
      </c>
      <c r="H358" s="15">
        <f>IF($C358="","",IFERROR(LOOKUP(2,1/((Reconhecimento!$A$5:$A$310&lt;&gt;"")*ISNUMBER(SEARCH(" "&amp;Reconhecimento!$A$5:$A$310," "&amp;$C358))),Reconhecimento!$C$5:$C$310),"—"))</f>
        <v/>
      </c>
      <c r="I358" s="15">
        <f>IF($C358="","",IFERROR(VLOOKUP($G358,Tipos!$A$5:$B$51,2,FALSE),"—"))</f>
        <v/>
      </c>
      <c r="J358" s="15">
        <f>IF(COUNTA($A358:$C358)=0,"",IF($A358="","Falta a Área",IF($B358="","Falta o Setor",IF($C358="","Falta o nome",IF(COUNTIF($C$6:$C$403,$C358)&gt;1,"Nome repetido: use 01, 02… ou a Qtd",IF(LEFT($G358,7)="Confira","Confira o tipo na importação","OK"))))))</f>
        <v/>
      </c>
    </row>
    <row r="359">
      <c r="A359" s="16" t="n"/>
      <c r="B359" s="16" t="n"/>
      <c r="C359" s="16" t="n"/>
      <c r="D359" s="16" t="n"/>
      <c r="E359" s="17" t="n"/>
      <c r="F359" s="16" t="n"/>
      <c r="G359" s="15">
        <f>IF($C359="","",IFERROR(LOOKUP(2,1/((Reconhecimento!$A$5:$A$310&lt;&gt;"")*ISNUMBER(SEARCH(" "&amp;Reconhecimento!$A$5:$A$310," "&amp;$C359))),Reconhecimento!$B$5:$B$310),"Confira: escolha na importação"))</f>
        <v/>
      </c>
      <c r="H359" s="15">
        <f>IF($C359="","",IFERROR(LOOKUP(2,1/((Reconhecimento!$A$5:$A$310&lt;&gt;"")*ISNUMBER(SEARCH(" "&amp;Reconhecimento!$A$5:$A$310," "&amp;$C359))),Reconhecimento!$C$5:$C$310),"—"))</f>
        <v/>
      </c>
      <c r="I359" s="15">
        <f>IF($C359="","",IFERROR(VLOOKUP($G359,Tipos!$A$5:$B$51,2,FALSE),"—"))</f>
        <v/>
      </c>
      <c r="J359" s="15">
        <f>IF(COUNTA($A359:$C359)=0,"",IF($A359="","Falta a Área",IF($B359="","Falta o Setor",IF($C359="","Falta o nome",IF(COUNTIF($C$6:$C$403,$C359)&gt;1,"Nome repetido: use 01, 02… ou a Qtd",IF(LEFT($G359,7)="Confira","Confira o tipo na importação","OK"))))))</f>
        <v/>
      </c>
    </row>
    <row r="360">
      <c r="A360" s="16" t="n"/>
      <c r="B360" s="16" t="n"/>
      <c r="C360" s="16" t="n"/>
      <c r="D360" s="16" t="n"/>
      <c r="E360" s="17" t="n"/>
      <c r="F360" s="16" t="n"/>
      <c r="G360" s="15">
        <f>IF($C360="","",IFERROR(LOOKUP(2,1/((Reconhecimento!$A$5:$A$310&lt;&gt;"")*ISNUMBER(SEARCH(" "&amp;Reconhecimento!$A$5:$A$310," "&amp;$C360))),Reconhecimento!$B$5:$B$310),"Confira: escolha na importação"))</f>
        <v/>
      </c>
      <c r="H360" s="15">
        <f>IF($C360="","",IFERROR(LOOKUP(2,1/((Reconhecimento!$A$5:$A$310&lt;&gt;"")*ISNUMBER(SEARCH(" "&amp;Reconhecimento!$A$5:$A$310," "&amp;$C360))),Reconhecimento!$C$5:$C$310),"—"))</f>
        <v/>
      </c>
      <c r="I360" s="15">
        <f>IF($C360="","",IFERROR(VLOOKUP($G360,Tipos!$A$5:$B$51,2,FALSE),"—"))</f>
        <v/>
      </c>
      <c r="J360" s="15">
        <f>IF(COUNTA($A360:$C360)=0,"",IF($A360="","Falta a Área",IF($B360="","Falta o Setor",IF($C360="","Falta o nome",IF(COUNTIF($C$6:$C$403,$C360)&gt;1,"Nome repetido: use 01, 02… ou a Qtd",IF(LEFT($G360,7)="Confira","Confira o tipo na importação","OK"))))))</f>
        <v/>
      </c>
    </row>
    <row r="361">
      <c r="A361" s="16" t="n"/>
      <c r="B361" s="16" t="n"/>
      <c r="C361" s="16" t="n"/>
      <c r="D361" s="16" t="n"/>
      <c r="E361" s="17" t="n"/>
      <c r="F361" s="16" t="n"/>
      <c r="G361" s="15">
        <f>IF($C361="","",IFERROR(LOOKUP(2,1/((Reconhecimento!$A$5:$A$310&lt;&gt;"")*ISNUMBER(SEARCH(" "&amp;Reconhecimento!$A$5:$A$310," "&amp;$C361))),Reconhecimento!$B$5:$B$310),"Confira: escolha na importação"))</f>
        <v/>
      </c>
      <c r="H361" s="15">
        <f>IF($C361="","",IFERROR(LOOKUP(2,1/((Reconhecimento!$A$5:$A$310&lt;&gt;"")*ISNUMBER(SEARCH(" "&amp;Reconhecimento!$A$5:$A$310," "&amp;$C361))),Reconhecimento!$C$5:$C$310),"—"))</f>
        <v/>
      </c>
      <c r="I361" s="15">
        <f>IF($C361="","",IFERROR(VLOOKUP($G361,Tipos!$A$5:$B$51,2,FALSE),"—"))</f>
        <v/>
      </c>
      <c r="J361" s="15">
        <f>IF(COUNTA($A361:$C361)=0,"",IF($A361="","Falta a Área",IF($B361="","Falta o Setor",IF($C361="","Falta o nome",IF(COUNTIF($C$6:$C$403,$C361)&gt;1,"Nome repetido: use 01, 02… ou a Qtd",IF(LEFT($G361,7)="Confira","Confira o tipo na importação","OK"))))))</f>
        <v/>
      </c>
    </row>
    <row r="362">
      <c r="A362" s="16" t="n"/>
      <c r="B362" s="16" t="n"/>
      <c r="C362" s="16" t="n"/>
      <c r="D362" s="16" t="n"/>
      <c r="E362" s="17" t="n"/>
      <c r="F362" s="16" t="n"/>
      <c r="G362" s="15">
        <f>IF($C362="","",IFERROR(LOOKUP(2,1/((Reconhecimento!$A$5:$A$310&lt;&gt;"")*ISNUMBER(SEARCH(" "&amp;Reconhecimento!$A$5:$A$310," "&amp;$C362))),Reconhecimento!$B$5:$B$310),"Confira: escolha na importação"))</f>
        <v/>
      </c>
      <c r="H362" s="15">
        <f>IF($C362="","",IFERROR(LOOKUP(2,1/((Reconhecimento!$A$5:$A$310&lt;&gt;"")*ISNUMBER(SEARCH(" "&amp;Reconhecimento!$A$5:$A$310," "&amp;$C362))),Reconhecimento!$C$5:$C$310),"—"))</f>
        <v/>
      </c>
      <c r="I362" s="15">
        <f>IF($C362="","",IFERROR(VLOOKUP($G362,Tipos!$A$5:$B$51,2,FALSE),"—"))</f>
        <v/>
      </c>
      <c r="J362" s="15">
        <f>IF(COUNTA($A362:$C362)=0,"",IF($A362="","Falta a Área",IF($B362="","Falta o Setor",IF($C362="","Falta o nome",IF(COUNTIF($C$6:$C$403,$C362)&gt;1,"Nome repetido: use 01, 02… ou a Qtd",IF(LEFT($G362,7)="Confira","Confira o tipo na importação","OK"))))))</f>
        <v/>
      </c>
    </row>
    <row r="363">
      <c r="A363" s="16" t="n"/>
      <c r="B363" s="16" t="n"/>
      <c r="C363" s="16" t="n"/>
      <c r="D363" s="16" t="n"/>
      <c r="E363" s="17" t="n"/>
      <c r="F363" s="16" t="n"/>
      <c r="G363" s="15">
        <f>IF($C363="","",IFERROR(LOOKUP(2,1/((Reconhecimento!$A$5:$A$310&lt;&gt;"")*ISNUMBER(SEARCH(" "&amp;Reconhecimento!$A$5:$A$310," "&amp;$C363))),Reconhecimento!$B$5:$B$310),"Confira: escolha na importação"))</f>
        <v/>
      </c>
      <c r="H363" s="15">
        <f>IF($C363="","",IFERROR(LOOKUP(2,1/((Reconhecimento!$A$5:$A$310&lt;&gt;"")*ISNUMBER(SEARCH(" "&amp;Reconhecimento!$A$5:$A$310," "&amp;$C363))),Reconhecimento!$C$5:$C$310),"—"))</f>
        <v/>
      </c>
      <c r="I363" s="15">
        <f>IF($C363="","",IFERROR(VLOOKUP($G363,Tipos!$A$5:$B$51,2,FALSE),"—"))</f>
        <v/>
      </c>
      <c r="J363" s="15">
        <f>IF(COUNTA($A363:$C363)=0,"",IF($A363="","Falta a Área",IF($B363="","Falta o Setor",IF($C363="","Falta o nome",IF(COUNTIF($C$6:$C$403,$C363)&gt;1,"Nome repetido: use 01, 02… ou a Qtd",IF(LEFT($G363,7)="Confira","Confira o tipo na importação","OK"))))))</f>
        <v/>
      </c>
    </row>
    <row r="364">
      <c r="A364" s="16" t="n"/>
      <c r="B364" s="16" t="n"/>
      <c r="C364" s="16" t="n"/>
      <c r="D364" s="16" t="n"/>
      <c r="E364" s="17" t="n"/>
      <c r="F364" s="16" t="n"/>
      <c r="G364" s="15">
        <f>IF($C364="","",IFERROR(LOOKUP(2,1/((Reconhecimento!$A$5:$A$310&lt;&gt;"")*ISNUMBER(SEARCH(" "&amp;Reconhecimento!$A$5:$A$310," "&amp;$C364))),Reconhecimento!$B$5:$B$310),"Confira: escolha na importação"))</f>
        <v/>
      </c>
      <c r="H364" s="15">
        <f>IF($C364="","",IFERROR(LOOKUP(2,1/((Reconhecimento!$A$5:$A$310&lt;&gt;"")*ISNUMBER(SEARCH(" "&amp;Reconhecimento!$A$5:$A$310," "&amp;$C364))),Reconhecimento!$C$5:$C$310),"—"))</f>
        <v/>
      </c>
      <c r="I364" s="15">
        <f>IF($C364="","",IFERROR(VLOOKUP($G364,Tipos!$A$5:$B$51,2,FALSE),"—"))</f>
        <v/>
      </c>
      <c r="J364" s="15">
        <f>IF(COUNTA($A364:$C364)=0,"",IF($A364="","Falta a Área",IF($B364="","Falta o Setor",IF($C364="","Falta o nome",IF(COUNTIF($C$6:$C$403,$C364)&gt;1,"Nome repetido: use 01, 02… ou a Qtd",IF(LEFT($G364,7)="Confira","Confira o tipo na importação","OK"))))))</f>
        <v/>
      </c>
    </row>
    <row r="365">
      <c r="A365" s="16" t="n"/>
      <c r="B365" s="16" t="n"/>
      <c r="C365" s="16" t="n"/>
      <c r="D365" s="16" t="n"/>
      <c r="E365" s="17" t="n"/>
      <c r="F365" s="16" t="n"/>
      <c r="G365" s="15">
        <f>IF($C365="","",IFERROR(LOOKUP(2,1/((Reconhecimento!$A$5:$A$310&lt;&gt;"")*ISNUMBER(SEARCH(" "&amp;Reconhecimento!$A$5:$A$310," "&amp;$C365))),Reconhecimento!$B$5:$B$310),"Confira: escolha na importação"))</f>
        <v/>
      </c>
      <c r="H365" s="15">
        <f>IF($C365="","",IFERROR(LOOKUP(2,1/((Reconhecimento!$A$5:$A$310&lt;&gt;"")*ISNUMBER(SEARCH(" "&amp;Reconhecimento!$A$5:$A$310," "&amp;$C365))),Reconhecimento!$C$5:$C$310),"—"))</f>
        <v/>
      </c>
      <c r="I365" s="15">
        <f>IF($C365="","",IFERROR(VLOOKUP($G365,Tipos!$A$5:$B$51,2,FALSE),"—"))</f>
        <v/>
      </c>
      <c r="J365" s="15">
        <f>IF(COUNTA($A365:$C365)=0,"",IF($A365="","Falta a Área",IF($B365="","Falta o Setor",IF($C365="","Falta o nome",IF(COUNTIF($C$6:$C$403,$C365)&gt;1,"Nome repetido: use 01, 02… ou a Qtd",IF(LEFT($G365,7)="Confira","Confira o tipo na importação","OK"))))))</f>
        <v/>
      </c>
    </row>
    <row r="366">
      <c r="A366" s="16" t="n"/>
      <c r="B366" s="16" t="n"/>
      <c r="C366" s="16" t="n"/>
      <c r="D366" s="16" t="n"/>
      <c r="E366" s="17" t="n"/>
      <c r="F366" s="16" t="n"/>
      <c r="G366" s="15">
        <f>IF($C366="","",IFERROR(LOOKUP(2,1/((Reconhecimento!$A$5:$A$310&lt;&gt;"")*ISNUMBER(SEARCH(" "&amp;Reconhecimento!$A$5:$A$310," "&amp;$C366))),Reconhecimento!$B$5:$B$310),"Confira: escolha na importação"))</f>
        <v/>
      </c>
      <c r="H366" s="15">
        <f>IF($C366="","",IFERROR(LOOKUP(2,1/((Reconhecimento!$A$5:$A$310&lt;&gt;"")*ISNUMBER(SEARCH(" "&amp;Reconhecimento!$A$5:$A$310," "&amp;$C366))),Reconhecimento!$C$5:$C$310),"—"))</f>
        <v/>
      </c>
      <c r="I366" s="15">
        <f>IF($C366="","",IFERROR(VLOOKUP($G366,Tipos!$A$5:$B$51,2,FALSE),"—"))</f>
        <v/>
      </c>
      <c r="J366" s="15">
        <f>IF(COUNTA($A366:$C366)=0,"",IF($A366="","Falta a Área",IF($B366="","Falta o Setor",IF($C366="","Falta o nome",IF(COUNTIF($C$6:$C$403,$C366)&gt;1,"Nome repetido: use 01, 02… ou a Qtd",IF(LEFT($G366,7)="Confira","Confira o tipo na importação","OK"))))))</f>
        <v/>
      </c>
    </row>
    <row r="367">
      <c r="A367" s="16" t="n"/>
      <c r="B367" s="16" t="n"/>
      <c r="C367" s="16" t="n"/>
      <c r="D367" s="16" t="n"/>
      <c r="E367" s="17" t="n"/>
      <c r="F367" s="16" t="n"/>
      <c r="G367" s="15">
        <f>IF($C367="","",IFERROR(LOOKUP(2,1/((Reconhecimento!$A$5:$A$310&lt;&gt;"")*ISNUMBER(SEARCH(" "&amp;Reconhecimento!$A$5:$A$310," "&amp;$C367))),Reconhecimento!$B$5:$B$310),"Confira: escolha na importação"))</f>
        <v/>
      </c>
      <c r="H367" s="15">
        <f>IF($C367="","",IFERROR(LOOKUP(2,1/((Reconhecimento!$A$5:$A$310&lt;&gt;"")*ISNUMBER(SEARCH(" "&amp;Reconhecimento!$A$5:$A$310," "&amp;$C367))),Reconhecimento!$C$5:$C$310),"—"))</f>
        <v/>
      </c>
      <c r="I367" s="15">
        <f>IF($C367="","",IFERROR(VLOOKUP($G367,Tipos!$A$5:$B$51,2,FALSE),"—"))</f>
        <v/>
      </c>
      <c r="J367" s="15">
        <f>IF(COUNTA($A367:$C367)=0,"",IF($A367="","Falta a Área",IF($B367="","Falta o Setor",IF($C367="","Falta o nome",IF(COUNTIF($C$6:$C$403,$C367)&gt;1,"Nome repetido: use 01, 02… ou a Qtd",IF(LEFT($G367,7)="Confira","Confira o tipo na importação","OK"))))))</f>
        <v/>
      </c>
    </row>
    <row r="368">
      <c r="A368" s="16" t="n"/>
      <c r="B368" s="16" t="n"/>
      <c r="C368" s="16" t="n"/>
      <c r="D368" s="16" t="n"/>
      <c r="E368" s="17" t="n"/>
      <c r="F368" s="16" t="n"/>
      <c r="G368" s="15">
        <f>IF($C368="","",IFERROR(LOOKUP(2,1/((Reconhecimento!$A$5:$A$310&lt;&gt;"")*ISNUMBER(SEARCH(" "&amp;Reconhecimento!$A$5:$A$310," "&amp;$C368))),Reconhecimento!$B$5:$B$310),"Confira: escolha na importação"))</f>
        <v/>
      </c>
      <c r="H368" s="15">
        <f>IF($C368="","",IFERROR(LOOKUP(2,1/((Reconhecimento!$A$5:$A$310&lt;&gt;"")*ISNUMBER(SEARCH(" "&amp;Reconhecimento!$A$5:$A$310," "&amp;$C368))),Reconhecimento!$C$5:$C$310),"—"))</f>
        <v/>
      </c>
      <c r="I368" s="15">
        <f>IF($C368="","",IFERROR(VLOOKUP($G368,Tipos!$A$5:$B$51,2,FALSE),"—"))</f>
        <v/>
      </c>
      <c r="J368" s="15">
        <f>IF(COUNTA($A368:$C368)=0,"",IF($A368="","Falta a Área",IF($B368="","Falta o Setor",IF($C368="","Falta o nome",IF(COUNTIF($C$6:$C$403,$C368)&gt;1,"Nome repetido: use 01, 02… ou a Qtd",IF(LEFT($G368,7)="Confira","Confira o tipo na importação","OK"))))))</f>
        <v/>
      </c>
    </row>
    <row r="369">
      <c r="A369" s="16" t="n"/>
      <c r="B369" s="16" t="n"/>
      <c r="C369" s="16" t="n"/>
      <c r="D369" s="16" t="n"/>
      <c r="E369" s="17" t="n"/>
      <c r="F369" s="16" t="n"/>
      <c r="G369" s="15">
        <f>IF($C369="","",IFERROR(LOOKUP(2,1/((Reconhecimento!$A$5:$A$310&lt;&gt;"")*ISNUMBER(SEARCH(" "&amp;Reconhecimento!$A$5:$A$310," "&amp;$C369))),Reconhecimento!$B$5:$B$310),"Confira: escolha na importação"))</f>
        <v/>
      </c>
      <c r="H369" s="15">
        <f>IF($C369="","",IFERROR(LOOKUP(2,1/((Reconhecimento!$A$5:$A$310&lt;&gt;"")*ISNUMBER(SEARCH(" "&amp;Reconhecimento!$A$5:$A$310," "&amp;$C369))),Reconhecimento!$C$5:$C$310),"—"))</f>
        <v/>
      </c>
      <c r="I369" s="15">
        <f>IF($C369="","",IFERROR(VLOOKUP($G369,Tipos!$A$5:$B$51,2,FALSE),"—"))</f>
        <v/>
      </c>
      <c r="J369" s="15">
        <f>IF(COUNTA($A369:$C369)=0,"",IF($A369="","Falta a Área",IF($B369="","Falta o Setor",IF($C369="","Falta o nome",IF(COUNTIF($C$6:$C$403,$C369)&gt;1,"Nome repetido: use 01, 02… ou a Qtd",IF(LEFT($G369,7)="Confira","Confira o tipo na importação","OK"))))))</f>
        <v/>
      </c>
    </row>
    <row r="370">
      <c r="A370" s="16" t="n"/>
      <c r="B370" s="16" t="n"/>
      <c r="C370" s="16" t="n"/>
      <c r="D370" s="16" t="n"/>
      <c r="E370" s="17" t="n"/>
      <c r="F370" s="16" t="n"/>
      <c r="G370" s="15">
        <f>IF($C370="","",IFERROR(LOOKUP(2,1/((Reconhecimento!$A$5:$A$310&lt;&gt;"")*ISNUMBER(SEARCH(" "&amp;Reconhecimento!$A$5:$A$310," "&amp;$C370))),Reconhecimento!$B$5:$B$310),"Confira: escolha na importação"))</f>
        <v/>
      </c>
      <c r="H370" s="15">
        <f>IF($C370="","",IFERROR(LOOKUP(2,1/((Reconhecimento!$A$5:$A$310&lt;&gt;"")*ISNUMBER(SEARCH(" "&amp;Reconhecimento!$A$5:$A$310," "&amp;$C370))),Reconhecimento!$C$5:$C$310),"—"))</f>
        <v/>
      </c>
      <c r="I370" s="15">
        <f>IF($C370="","",IFERROR(VLOOKUP($G370,Tipos!$A$5:$B$51,2,FALSE),"—"))</f>
        <v/>
      </c>
      <c r="J370" s="15">
        <f>IF(COUNTA($A370:$C370)=0,"",IF($A370="","Falta a Área",IF($B370="","Falta o Setor",IF($C370="","Falta o nome",IF(COUNTIF($C$6:$C$403,$C370)&gt;1,"Nome repetido: use 01, 02… ou a Qtd",IF(LEFT($G370,7)="Confira","Confira o tipo na importação","OK"))))))</f>
        <v/>
      </c>
    </row>
    <row r="371">
      <c r="A371" s="16" t="n"/>
      <c r="B371" s="16" t="n"/>
      <c r="C371" s="16" t="n"/>
      <c r="D371" s="16" t="n"/>
      <c r="E371" s="17" t="n"/>
      <c r="F371" s="16" t="n"/>
      <c r="G371" s="15">
        <f>IF($C371="","",IFERROR(LOOKUP(2,1/((Reconhecimento!$A$5:$A$310&lt;&gt;"")*ISNUMBER(SEARCH(" "&amp;Reconhecimento!$A$5:$A$310," "&amp;$C371))),Reconhecimento!$B$5:$B$310),"Confira: escolha na importação"))</f>
        <v/>
      </c>
      <c r="H371" s="15">
        <f>IF($C371="","",IFERROR(LOOKUP(2,1/((Reconhecimento!$A$5:$A$310&lt;&gt;"")*ISNUMBER(SEARCH(" "&amp;Reconhecimento!$A$5:$A$310," "&amp;$C371))),Reconhecimento!$C$5:$C$310),"—"))</f>
        <v/>
      </c>
      <c r="I371" s="15">
        <f>IF($C371="","",IFERROR(VLOOKUP($G371,Tipos!$A$5:$B$51,2,FALSE),"—"))</f>
        <v/>
      </c>
      <c r="J371" s="15">
        <f>IF(COUNTA($A371:$C371)=0,"",IF($A371="","Falta a Área",IF($B371="","Falta o Setor",IF($C371="","Falta o nome",IF(COUNTIF($C$6:$C$403,$C371)&gt;1,"Nome repetido: use 01, 02… ou a Qtd",IF(LEFT($G371,7)="Confira","Confira o tipo na importação","OK"))))))</f>
        <v/>
      </c>
    </row>
    <row r="372">
      <c r="A372" s="16" t="n"/>
      <c r="B372" s="16" t="n"/>
      <c r="C372" s="16" t="n"/>
      <c r="D372" s="16" t="n"/>
      <c r="E372" s="17" t="n"/>
      <c r="F372" s="16" t="n"/>
      <c r="G372" s="15">
        <f>IF($C372="","",IFERROR(LOOKUP(2,1/((Reconhecimento!$A$5:$A$310&lt;&gt;"")*ISNUMBER(SEARCH(" "&amp;Reconhecimento!$A$5:$A$310," "&amp;$C372))),Reconhecimento!$B$5:$B$310),"Confira: escolha na importação"))</f>
        <v/>
      </c>
      <c r="H372" s="15">
        <f>IF($C372="","",IFERROR(LOOKUP(2,1/((Reconhecimento!$A$5:$A$310&lt;&gt;"")*ISNUMBER(SEARCH(" "&amp;Reconhecimento!$A$5:$A$310," "&amp;$C372))),Reconhecimento!$C$5:$C$310),"—"))</f>
        <v/>
      </c>
      <c r="I372" s="15">
        <f>IF($C372="","",IFERROR(VLOOKUP($G372,Tipos!$A$5:$B$51,2,FALSE),"—"))</f>
        <v/>
      </c>
      <c r="J372" s="15">
        <f>IF(COUNTA($A372:$C372)=0,"",IF($A372="","Falta a Área",IF($B372="","Falta o Setor",IF($C372="","Falta o nome",IF(COUNTIF($C$6:$C$403,$C372)&gt;1,"Nome repetido: use 01, 02… ou a Qtd",IF(LEFT($G372,7)="Confira","Confira o tipo na importação","OK"))))))</f>
        <v/>
      </c>
    </row>
    <row r="373">
      <c r="A373" s="16" t="n"/>
      <c r="B373" s="16" t="n"/>
      <c r="C373" s="16" t="n"/>
      <c r="D373" s="16" t="n"/>
      <c r="E373" s="17" t="n"/>
      <c r="F373" s="16" t="n"/>
      <c r="G373" s="15">
        <f>IF($C373="","",IFERROR(LOOKUP(2,1/((Reconhecimento!$A$5:$A$310&lt;&gt;"")*ISNUMBER(SEARCH(" "&amp;Reconhecimento!$A$5:$A$310," "&amp;$C373))),Reconhecimento!$B$5:$B$310),"Confira: escolha na importação"))</f>
        <v/>
      </c>
      <c r="H373" s="15">
        <f>IF($C373="","",IFERROR(LOOKUP(2,1/((Reconhecimento!$A$5:$A$310&lt;&gt;"")*ISNUMBER(SEARCH(" "&amp;Reconhecimento!$A$5:$A$310," "&amp;$C373))),Reconhecimento!$C$5:$C$310),"—"))</f>
        <v/>
      </c>
      <c r="I373" s="15">
        <f>IF($C373="","",IFERROR(VLOOKUP($G373,Tipos!$A$5:$B$51,2,FALSE),"—"))</f>
        <v/>
      </c>
      <c r="J373" s="15">
        <f>IF(COUNTA($A373:$C373)=0,"",IF($A373="","Falta a Área",IF($B373="","Falta o Setor",IF($C373="","Falta o nome",IF(COUNTIF($C$6:$C$403,$C373)&gt;1,"Nome repetido: use 01, 02… ou a Qtd",IF(LEFT($G373,7)="Confira","Confira o tipo na importação","OK"))))))</f>
        <v/>
      </c>
    </row>
    <row r="374">
      <c r="A374" s="16" t="n"/>
      <c r="B374" s="16" t="n"/>
      <c r="C374" s="16" t="n"/>
      <c r="D374" s="16" t="n"/>
      <c r="E374" s="17" t="n"/>
      <c r="F374" s="16" t="n"/>
      <c r="G374" s="15">
        <f>IF($C374="","",IFERROR(LOOKUP(2,1/((Reconhecimento!$A$5:$A$310&lt;&gt;"")*ISNUMBER(SEARCH(" "&amp;Reconhecimento!$A$5:$A$310," "&amp;$C374))),Reconhecimento!$B$5:$B$310),"Confira: escolha na importação"))</f>
        <v/>
      </c>
      <c r="H374" s="15">
        <f>IF($C374="","",IFERROR(LOOKUP(2,1/((Reconhecimento!$A$5:$A$310&lt;&gt;"")*ISNUMBER(SEARCH(" "&amp;Reconhecimento!$A$5:$A$310," "&amp;$C374))),Reconhecimento!$C$5:$C$310),"—"))</f>
        <v/>
      </c>
      <c r="I374" s="15">
        <f>IF($C374="","",IFERROR(VLOOKUP($G374,Tipos!$A$5:$B$51,2,FALSE),"—"))</f>
        <v/>
      </c>
      <c r="J374" s="15">
        <f>IF(COUNTA($A374:$C374)=0,"",IF($A374="","Falta a Área",IF($B374="","Falta o Setor",IF($C374="","Falta o nome",IF(COUNTIF($C$6:$C$403,$C374)&gt;1,"Nome repetido: use 01, 02… ou a Qtd",IF(LEFT($G374,7)="Confira","Confira o tipo na importação","OK"))))))</f>
        <v/>
      </c>
    </row>
    <row r="375">
      <c r="A375" s="16" t="n"/>
      <c r="B375" s="16" t="n"/>
      <c r="C375" s="16" t="n"/>
      <c r="D375" s="16" t="n"/>
      <c r="E375" s="17" t="n"/>
      <c r="F375" s="16" t="n"/>
      <c r="G375" s="15">
        <f>IF($C375="","",IFERROR(LOOKUP(2,1/((Reconhecimento!$A$5:$A$310&lt;&gt;"")*ISNUMBER(SEARCH(" "&amp;Reconhecimento!$A$5:$A$310," "&amp;$C375))),Reconhecimento!$B$5:$B$310),"Confira: escolha na importação"))</f>
        <v/>
      </c>
      <c r="H375" s="15">
        <f>IF($C375="","",IFERROR(LOOKUP(2,1/((Reconhecimento!$A$5:$A$310&lt;&gt;"")*ISNUMBER(SEARCH(" "&amp;Reconhecimento!$A$5:$A$310," "&amp;$C375))),Reconhecimento!$C$5:$C$310),"—"))</f>
        <v/>
      </c>
      <c r="I375" s="15">
        <f>IF($C375="","",IFERROR(VLOOKUP($G375,Tipos!$A$5:$B$51,2,FALSE),"—"))</f>
        <v/>
      </c>
      <c r="J375" s="15">
        <f>IF(COUNTA($A375:$C375)=0,"",IF($A375="","Falta a Área",IF($B375="","Falta o Setor",IF($C375="","Falta o nome",IF(COUNTIF($C$6:$C$403,$C375)&gt;1,"Nome repetido: use 01, 02… ou a Qtd",IF(LEFT($G375,7)="Confira","Confira o tipo na importação","OK"))))))</f>
        <v/>
      </c>
    </row>
    <row r="376">
      <c r="A376" s="16" t="n"/>
      <c r="B376" s="16" t="n"/>
      <c r="C376" s="16" t="n"/>
      <c r="D376" s="16" t="n"/>
      <c r="E376" s="17" t="n"/>
      <c r="F376" s="16" t="n"/>
      <c r="G376" s="15">
        <f>IF($C376="","",IFERROR(LOOKUP(2,1/((Reconhecimento!$A$5:$A$310&lt;&gt;"")*ISNUMBER(SEARCH(" "&amp;Reconhecimento!$A$5:$A$310," "&amp;$C376))),Reconhecimento!$B$5:$B$310),"Confira: escolha na importação"))</f>
        <v/>
      </c>
      <c r="H376" s="15">
        <f>IF($C376="","",IFERROR(LOOKUP(2,1/((Reconhecimento!$A$5:$A$310&lt;&gt;"")*ISNUMBER(SEARCH(" "&amp;Reconhecimento!$A$5:$A$310," "&amp;$C376))),Reconhecimento!$C$5:$C$310),"—"))</f>
        <v/>
      </c>
      <c r="I376" s="15">
        <f>IF($C376="","",IFERROR(VLOOKUP($G376,Tipos!$A$5:$B$51,2,FALSE),"—"))</f>
        <v/>
      </c>
      <c r="J376" s="15">
        <f>IF(COUNTA($A376:$C376)=0,"",IF($A376="","Falta a Área",IF($B376="","Falta o Setor",IF($C376="","Falta o nome",IF(COUNTIF($C$6:$C$403,$C376)&gt;1,"Nome repetido: use 01, 02… ou a Qtd",IF(LEFT($G376,7)="Confira","Confira o tipo na importação","OK"))))))</f>
        <v/>
      </c>
    </row>
    <row r="377">
      <c r="A377" s="16" t="n"/>
      <c r="B377" s="16" t="n"/>
      <c r="C377" s="16" t="n"/>
      <c r="D377" s="16" t="n"/>
      <c r="E377" s="17" t="n"/>
      <c r="F377" s="16" t="n"/>
      <c r="G377" s="15">
        <f>IF($C377="","",IFERROR(LOOKUP(2,1/((Reconhecimento!$A$5:$A$310&lt;&gt;"")*ISNUMBER(SEARCH(" "&amp;Reconhecimento!$A$5:$A$310," "&amp;$C377))),Reconhecimento!$B$5:$B$310),"Confira: escolha na importação"))</f>
        <v/>
      </c>
      <c r="H377" s="15">
        <f>IF($C377="","",IFERROR(LOOKUP(2,1/((Reconhecimento!$A$5:$A$310&lt;&gt;"")*ISNUMBER(SEARCH(" "&amp;Reconhecimento!$A$5:$A$310," "&amp;$C377))),Reconhecimento!$C$5:$C$310),"—"))</f>
        <v/>
      </c>
      <c r="I377" s="15">
        <f>IF($C377="","",IFERROR(VLOOKUP($G377,Tipos!$A$5:$B$51,2,FALSE),"—"))</f>
        <v/>
      </c>
      <c r="J377" s="15">
        <f>IF(COUNTA($A377:$C377)=0,"",IF($A377="","Falta a Área",IF($B377="","Falta o Setor",IF($C377="","Falta o nome",IF(COUNTIF($C$6:$C$403,$C377)&gt;1,"Nome repetido: use 01, 02… ou a Qtd",IF(LEFT($G377,7)="Confira","Confira o tipo na importação","OK"))))))</f>
        <v/>
      </c>
    </row>
    <row r="378">
      <c r="A378" s="16" t="n"/>
      <c r="B378" s="16" t="n"/>
      <c r="C378" s="16" t="n"/>
      <c r="D378" s="16" t="n"/>
      <c r="E378" s="17" t="n"/>
      <c r="F378" s="16" t="n"/>
      <c r="G378" s="15">
        <f>IF($C378="","",IFERROR(LOOKUP(2,1/((Reconhecimento!$A$5:$A$310&lt;&gt;"")*ISNUMBER(SEARCH(" "&amp;Reconhecimento!$A$5:$A$310," "&amp;$C378))),Reconhecimento!$B$5:$B$310),"Confira: escolha na importação"))</f>
        <v/>
      </c>
      <c r="H378" s="15">
        <f>IF($C378="","",IFERROR(LOOKUP(2,1/((Reconhecimento!$A$5:$A$310&lt;&gt;"")*ISNUMBER(SEARCH(" "&amp;Reconhecimento!$A$5:$A$310," "&amp;$C378))),Reconhecimento!$C$5:$C$310),"—"))</f>
        <v/>
      </c>
      <c r="I378" s="15">
        <f>IF($C378="","",IFERROR(VLOOKUP($G378,Tipos!$A$5:$B$51,2,FALSE),"—"))</f>
        <v/>
      </c>
      <c r="J378" s="15">
        <f>IF(COUNTA($A378:$C378)=0,"",IF($A378="","Falta a Área",IF($B378="","Falta o Setor",IF($C378="","Falta o nome",IF(COUNTIF($C$6:$C$403,$C378)&gt;1,"Nome repetido: use 01, 02… ou a Qtd",IF(LEFT($G378,7)="Confira","Confira o tipo na importação","OK"))))))</f>
        <v/>
      </c>
    </row>
    <row r="379">
      <c r="A379" s="16" t="n"/>
      <c r="B379" s="16" t="n"/>
      <c r="C379" s="16" t="n"/>
      <c r="D379" s="16" t="n"/>
      <c r="E379" s="17" t="n"/>
      <c r="F379" s="16" t="n"/>
      <c r="G379" s="15">
        <f>IF($C379="","",IFERROR(LOOKUP(2,1/((Reconhecimento!$A$5:$A$310&lt;&gt;"")*ISNUMBER(SEARCH(" "&amp;Reconhecimento!$A$5:$A$310," "&amp;$C379))),Reconhecimento!$B$5:$B$310),"Confira: escolha na importação"))</f>
        <v/>
      </c>
      <c r="H379" s="15">
        <f>IF($C379="","",IFERROR(LOOKUP(2,1/((Reconhecimento!$A$5:$A$310&lt;&gt;"")*ISNUMBER(SEARCH(" "&amp;Reconhecimento!$A$5:$A$310," "&amp;$C379))),Reconhecimento!$C$5:$C$310),"—"))</f>
        <v/>
      </c>
      <c r="I379" s="15">
        <f>IF($C379="","",IFERROR(VLOOKUP($G379,Tipos!$A$5:$B$51,2,FALSE),"—"))</f>
        <v/>
      </c>
      <c r="J379" s="15">
        <f>IF(COUNTA($A379:$C379)=0,"",IF($A379="","Falta a Área",IF($B379="","Falta o Setor",IF($C379="","Falta o nome",IF(COUNTIF($C$6:$C$403,$C379)&gt;1,"Nome repetido: use 01, 02… ou a Qtd",IF(LEFT($G379,7)="Confira","Confira o tipo na importação","OK"))))))</f>
        <v/>
      </c>
    </row>
    <row r="380">
      <c r="A380" s="16" t="n"/>
      <c r="B380" s="16" t="n"/>
      <c r="C380" s="16" t="n"/>
      <c r="D380" s="16" t="n"/>
      <c r="E380" s="17" t="n"/>
      <c r="F380" s="16" t="n"/>
      <c r="G380" s="15">
        <f>IF($C380="","",IFERROR(LOOKUP(2,1/((Reconhecimento!$A$5:$A$310&lt;&gt;"")*ISNUMBER(SEARCH(" "&amp;Reconhecimento!$A$5:$A$310," "&amp;$C380))),Reconhecimento!$B$5:$B$310),"Confira: escolha na importação"))</f>
        <v/>
      </c>
      <c r="H380" s="15">
        <f>IF($C380="","",IFERROR(LOOKUP(2,1/((Reconhecimento!$A$5:$A$310&lt;&gt;"")*ISNUMBER(SEARCH(" "&amp;Reconhecimento!$A$5:$A$310," "&amp;$C380))),Reconhecimento!$C$5:$C$310),"—"))</f>
        <v/>
      </c>
      <c r="I380" s="15">
        <f>IF($C380="","",IFERROR(VLOOKUP($G380,Tipos!$A$5:$B$51,2,FALSE),"—"))</f>
        <v/>
      </c>
      <c r="J380" s="15">
        <f>IF(COUNTA($A380:$C380)=0,"",IF($A380="","Falta a Área",IF($B380="","Falta o Setor",IF($C380="","Falta o nome",IF(COUNTIF($C$6:$C$403,$C380)&gt;1,"Nome repetido: use 01, 02… ou a Qtd",IF(LEFT($G380,7)="Confira","Confira o tipo na importação","OK"))))))</f>
        <v/>
      </c>
    </row>
    <row r="381">
      <c r="A381" s="16" t="n"/>
      <c r="B381" s="16" t="n"/>
      <c r="C381" s="16" t="n"/>
      <c r="D381" s="16" t="n"/>
      <c r="E381" s="17" t="n"/>
      <c r="F381" s="16" t="n"/>
      <c r="G381" s="15">
        <f>IF($C381="","",IFERROR(LOOKUP(2,1/((Reconhecimento!$A$5:$A$310&lt;&gt;"")*ISNUMBER(SEARCH(" "&amp;Reconhecimento!$A$5:$A$310," "&amp;$C381))),Reconhecimento!$B$5:$B$310),"Confira: escolha na importação"))</f>
        <v/>
      </c>
      <c r="H381" s="15">
        <f>IF($C381="","",IFERROR(LOOKUP(2,1/((Reconhecimento!$A$5:$A$310&lt;&gt;"")*ISNUMBER(SEARCH(" "&amp;Reconhecimento!$A$5:$A$310," "&amp;$C381))),Reconhecimento!$C$5:$C$310),"—"))</f>
        <v/>
      </c>
      <c r="I381" s="15">
        <f>IF($C381="","",IFERROR(VLOOKUP($G381,Tipos!$A$5:$B$51,2,FALSE),"—"))</f>
        <v/>
      </c>
      <c r="J381" s="15">
        <f>IF(COUNTA($A381:$C381)=0,"",IF($A381="","Falta a Área",IF($B381="","Falta o Setor",IF($C381="","Falta o nome",IF(COUNTIF($C$6:$C$403,$C381)&gt;1,"Nome repetido: use 01, 02… ou a Qtd",IF(LEFT($G381,7)="Confira","Confira o tipo na importação","OK"))))))</f>
        <v/>
      </c>
    </row>
    <row r="382">
      <c r="A382" s="16" t="n"/>
      <c r="B382" s="16" t="n"/>
      <c r="C382" s="16" t="n"/>
      <c r="D382" s="16" t="n"/>
      <c r="E382" s="17" t="n"/>
      <c r="F382" s="16" t="n"/>
      <c r="G382" s="15">
        <f>IF($C382="","",IFERROR(LOOKUP(2,1/((Reconhecimento!$A$5:$A$310&lt;&gt;"")*ISNUMBER(SEARCH(" "&amp;Reconhecimento!$A$5:$A$310," "&amp;$C382))),Reconhecimento!$B$5:$B$310),"Confira: escolha na importação"))</f>
        <v/>
      </c>
      <c r="H382" s="15">
        <f>IF($C382="","",IFERROR(LOOKUP(2,1/((Reconhecimento!$A$5:$A$310&lt;&gt;"")*ISNUMBER(SEARCH(" "&amp;Reconhecimento!$A$5:$A$310," "&amp;$C382))),Reconhecimento!$C$5:$C$310),"—"))</f>
        <v/>
      </c>
      <c r="I382" s="15">
        <f>IF($C382="","",IFERROR(VLOOKUP($G382,Tipos!$A$5:$B$51,2,FALSE),"—"))</f>
        <v/>
      </c>
      <c r="J382" s="15">
        <f>IF(COUNTA($A382:$C382)=0,"",IF($A382="","Falta a Área",IF($B382="","Falta o Setor",IF($C382="","Falta o nome",IF(COUNTIF($C$6:$C$403,$C382)&gt;1,"Nome repetido: use 01, 02… ou a Qtd",IF(LEFT($G382,7)="Confira","Confira o tipo na importação","OK"))))))</f>
        <v/>
      </c>
    </row>
    <row r="383">
      <c r="A383" s="16" t="n"/>
      <c r="B383" s="16" t="n"/>
      <c r="C383" s="16" t="n"/>
      <c r="D383" s="16" t="n"/>
      <c r="E383" s="17" t="n"/>
      <c r="F383" s="16" t="n"/>
      <c r="G383" s="15">
        <f>IF($C383="","",IFERROR(LOOKUP(2,1/((Reconhecimento!$A$5:$A$310&lt;&gt;"")*ISNUMBER(SEARCH(" "&amp;Reconhecimento!$A$5:$A$310," "&amp;$C383))),Reconhecimento!$B$5:$B$310),"Confira: escolha na importação"))</f>
        <v/>
      </c>
      <c r="H383" s="15">
        <f>IF($C383="","",IFERROR(LOOKUP(2,1/((Reconhecimento!$A$5:$A$310&lt;&gt;"")*ISNUMBER(SEARCH(" "&amp;Reconhecimento!$A$5:$A$310," "&amp;$C383))),Reconhecimento!$C$5:$C$310),"—"))</f>
        <v/>
      </c>
      <c r="I383" s="15">
        <f>IF($C383="","",IFERROR(VLOOKUP($G383,Tipos!$A$5:$B$51,2,FALSE),"—"))</f>
        <v/>
      </c>
      <c r="J383" s="15">
        <f>IF(COUNTA($A383:$C383)=0,"",IF($A383="","Falta a Área",IF($B383="","Falta o Setor",IF($C383="","Falta o nome",IF(COUNTIF($C$6:$C$403,$C383)&gt;1,"Nome repetido: use 01, 02… ou a Qtd",IF(LEFT($G383,7)="Confira","Confira o tipo na importação","OK"))))))</f>
        <v/>
      </c>
    </row>
    <row r="384">
      <c r="A384" s="16" t="n"/>
      <c r="B384" s="16" t="n"/>
      <c r="C384" s="16" t="n"/>
      <c r="D384" s="16" t="n"/>
      <c r="E384" s="17" t="n"/>
      <c r="F384" s="16" t="n"/>
      <c r="G384" s="15">
        <f>IF($C384="","",IFERROR(LOOKUP(2,1/((Reconhecimento!$A$5:$A$310&lt;&gt;"")*ISNUMBER(SEARCH(" "&amp;Reconhecimento!$A$5:$A$310," "&amp;$C384))),Reconhecimento!$B$5:$B$310),"Confira: escolha na importação"))</f>
        <v/>
      </c>
      <c r="H384" s="15">
        <f>IF($C384="","",IFERROR(LOOKUP(2,1/((Reconhecimento!$A$5:$A$310&lt;&gt;"")*ISNUMBER(SEARCH(" "&amp;Reconhecimento!$A$5:$A$310," "&amp;$C384))),Reconhecimento!$C$5:$C$310),"—"))</f>
        <v/>
      </c>
      <c r="I384" s="15">
        <f>IF($C384="","",IFERROR(VLOOKUP($G384,Tipos!$A$5:$B$51,2,FALSE),"—"))</f>
        <v/>
      </c>
      <c r="J384" s="15">
        <f>IF(COUNTA($A384:$C384)=0,"",IF($A384="","Falta a Área",IF($B384="","Falta o Setor",IF($C384="","Falta o nome",IF(COUNTIF($C$6:$C$403,$C384)&gt;1,"Nome repetido: use 01, 02… ou a Qtd",IF(LEFT($G384,7)="Confira","Confira o tipo na importação","OK"))))))</f>
        <v/>
      </c>
    </row>
    <row r="385">
      <c r="A385" s="16" t="n"/>
      <c r="B385" s="16" t="n"/>
      <c r="C385" s="16" t="n"/>
      <c r="D385" s="16" t="n"/>
      <c r="E385" s="17" t="n"/>
      <c r="F385" s="16" t="n"/>
      <c r="G385" s="15">
        <f>IF($C385="","",IFERROR(LOOKUP(2,1/((Reconhecimento!$A$5:$A$310&lt;&gt;"")*ISNUMBER(SEARCH(" "&amp;Reconhecimento!$A$5:$A$310," "&amp;$C385))),Reconhecimento!$B$5:$B$310),"Confira: escolha na importação"))</f>
        <v/>
      </c>
      <c r="H385" s="15">
        <f>IF($C385="","",IFERROR(LOOKUP(2,1/((Reconhecimento!$A$5:$A$310&lt;&gt;"")*ISNUMBER(SEARCH(" "&amp;Reconhecimento!$A$5:$A$310," "&amp;$C385))),Reconhecimento!$C$5:$C$310),"—"))</f>
        <v/>
      </c>
      <c r="I385" s="15">
        <f>IF($C385="","",IFERROR(VLOOKUP($G385,Tipos!$A$5:$B$51,2,FALSE),"—"))</f>
        <v/>
      </c>
      <c r="J385" s="15">
        <f>IF(COUNTA($A385:$C385)=0,"",IF($A385="","Falta a Área",IF($B385="","Falta o Setor",IF($C385="","Falta o nome",IF(COUNTIF($C$6:$C$403,$C385)&gt;1,"Nome repetido: use 01, 02… ou a Qtd",IF(LEFT($G385,7)="Confira","Confira o tipo na importação","OK"))))))</f>
        <v/>
      </c>
    </row>
    <row r="386">
      <c r="A386" s="16" t="n"/>
      <c r="B386" s="16" t="n"/>
      <c r="C386" s="16" t="n"/>
      <c r="D386" s="16" t="n"/>
      <c r="E386" s="17" t="n"/>
      <c r="F386" s="16" t="n"/>
      <c r="G386" s="15">
        <f>IF($C386="","",IFERROR(LOOKUP(2,1/((Reconhecimento!$A$5:$A$310&lt;&gt;"")*ISNUMBER(SEARCH(" "&amp;Reconhecimento!$A$5:$A$310," "&amp;$C386))),Reconhecimento!$B$5:$B$310),"Confira: escolha na importação"))</f>
        <v/>
      </c>
      <c r="H386" s="15">
        <f>IF($C386="","",IFERROR(LOOKUP(2,1/((Reconhecimento!$A$5:$A$310&lt;&gt;"")*ISNUMBER(SEARCH(" "&amp;Reconhecimento!$A$5:$A$310," "&amp;$C386))),Reconhecimento!$C$5:$C$310),"—"))</f>
        <v/>
      </c>
      <c r="I386" s="15">
        <f>IF($C386="","",IFERROR(VLOOKUP($G386,Tipos!$A$5:$B$51,2,FALSE),"—"))</f>
        <v/>
      </c>
      <c r="J386" s="15">
        <f>IF(COUNTA($A386:$C386)=0,"",IF($A386="","Falta a Área",IF($B386="","Falta o Setor",IF($C386="","Falta o nome",IF(COUNTIF($C$6:$C$403,$C386)&gt;1,"Nome repetido: use 01, 02… ou a Qtd",IF(LEFT($G386,7)="Confira","Confira o tipo na importação","OK"))))))</f>
        <v/>
      </c>
    </row>
    <row r="387">
      <c r="A387" s="16" t="n"/>
      <c r="B387" s="16" t="n"/>
      <c r="C387" s="16" t="n"/>
      <c r="D387" s="16" t="n"/>
      <c r="E387" s="17" t="n"/>
      <c r="F387" s="16" t="n"/>
      <c r="G387" s="15">
        <f>IF($C387="","",IFERROR(LOOKUP(2,1/((Reconhecimento!$A$5:$A$310&lt;&gt;"")*ISNUMBER(SEARCH(" "&amp;Reconhecimento!$A$5:$A$310," "&amp;$C387))),Reconhecimento!$B$5:$B$310),"Confira: escolha na importação"))</f>
        <v/>
      </c>
      <c r="H387" s="15">
        <f>IF($C387="","",IFERROR(LOOKUP(2,1/((Reconhecimento!$A$5:$A$310&lt;&gt;"")*ISNUMBER(SEARCH(" "&amp;Reconhecimento!$A$5:$A$310," "&amp;$C387))),Reconhecimento!$C$5:$C$310),"—"))</f>
        <v/>
      </c>
      <c r="I387" s="15">
        <f>IF($C387="","",IFERROR(VLOOKUP($G387,Tipos!$A$5:$B$51,2,FALSE),"—"))</f>
        <v/>
      </c>
      <c r="J387" s="15">
        <f>IF(COUNTA($A387:$C387)=0,"",IF($A387="","Falta a Área",IF($B387="","Falta o Setor",IF($C387="","Falta o nome",IF(COUNTIF($C$6:$C$403,$C387)&gt;1,"Nome repetido: use 01, 02… ou a Qtd",IF(LEFT($G387,7)="Confira","Confira o tipo na importação","OK"))))))</f>
        <v/>
      </c>
    </row>
    <row r="388">
      <c r="A388" s="16" t="n"/>
      <c r="B388" s="16" t="n"/>
      <c r="C388" s="16" t="n"/>
      <c r="D388" s="16" t="n"/>
      <c r="E388" s="17" t="n"/>
      <c r="F388" s="16" t="n"/>
      <c r="G388" s="15">
        <f>IF($C388="","",IFERROR(LOOKUP(2,1/((Reconhecimento!$A$5:$A$310&lt;&gt;"")*ISNUMBER(SEARCH(" "&amp;Reconhecimento!$A$5:$A$310," "&amp;$C388))),Reconhecimento!$B$5:$B$310),"Confira: escolha na importação"))</f>
        <v/>
      </c>
      <c r="H388" s="15">
        <f>IF($C388="","",IFERROR(LOOKUP(2,1/((Reconhecimento!$A$5:$A$310&lt;&gt;"")*ISNUMBER(SEARCH(" "&amp;Reconhecimento!$A$5:$A$310," "&amp;$C388))),Reconhecimento!$C$5:$C$310),"—"))</f>
        <v/>
      </c>
      <c r="I388" s="15">
        <f>IF($C388="","",IFERROR(VLOOKUP($G388,Tipos!$A$5:$B$51,2,FALSE),"—"))</f>
        <v/>
      </c>
      <c r="J388" s="15">
        <f>IF(COUNTA($A388:$C388)=0,"",IF($A388="","Falta a Área",IF($B388="","Falta o Setor",IF($C388="","Falta o nome",IF(COUNTIF($C$6:$C$403,$C388)&gt;1,"Nome repetido: use 01, 02… ou a Qtd",IF(LEFT($G388,7)="Confira","Confira o tipo na importação","OK"))))))</f>
        <v/>
      </c>
    </row>
    <row r="389">
      <c r="A389" s="16" t="n"/>
      <c r="B389" s="16" t="n"/>
      <c r="C389" s="16" t="n"/>
      <c r="D389" s="16" t="n"/>
      <c r="E389" s="17" t="n"/>
      <c r="F389" s="16" t="n"/>
      <c r="G389" s="15">
        <f>IF($C389="","",IFERROR(LOOKUP(2,1/((Reconhecimento!$A$5:$A$310&lt;&gt;"")*ISNUMBER(SEARCH(" "&amp;Reconhecimento!$A$5:$A$310," "&amp;$C389))),Reconhecimento!$B$5:$B$310),"Confira: escolha na importação"))</f>
        <v/>
      </c>
      <c r="H389" s="15">
        <f>IF($C389="","",IFERROR(LOOKUP(2,1/((Reconhecimento!$A$5:$A$310&lt;&gt;"")*ISNUMBER(SEARCH(" "&amp;Reconhecimento!$A$5:$A$310," "&amp;$C389))),Reconhecimento!$C$5:$C$310),"—"))</f>
        <v/>
      </c>
      <c r="I389" s="15">
        <f>IF($C389="","",IFERROR(VLOOKUP($G389,Tipos!$A$5:$B$51,2,FALSE),"—"))</f>
        <v/>
      </c>
      <c r="J389" s="15">
        <f>IF(COUNTA($A389:$C389)=0,"",IF($A389="","Falta a Área",IF($B389="","Falta o Setor",IF($C389="","Falta o nome",IF(COUNTIF($C$6:$C$403,$C389)&gt;1,"Nome repetido: use 01, 02… ou a Qtd",IF(LEFT($G389,7)="Confira","Confira o tipo na importação","OK"))))))</f>
        <v/>
      </c>
    </row>
    <row r="390">
      <c r="A390" s="16" t="n"/>
      <c r="B390" s="16" t="n"/>
      <c r="C390" s="16" t="n"/>
      <c r="D390" s="16" t="n"/>
      <c r="E390" s="17" t="n"/>
      <c r="F390" s="16" t="n"/>
      <c r="G390" s="15">
        <f>IF($C390="","",IFERROR(LOOKUP(2,1/((Reconhecimento!$A$5:$A$310&lt;&gt;"")*ISNUMBER(SEARCH(" "&amp;Reconhecimento!$A$5:$A$310," "&amp;$C390))),Reconhecimento!$B$5:$B$310),"Confira: escolha na importação"))</f>
        <v/>
      </c>
      <c r="H390" s="15">
        <f>IF($C390="","",IFERROR(LOOKUP(2,1/((Reconhecimento!$A$5:$A$310&lt;&gt;"")*ISNUMBER(SEARCH(" "&amp;Reconhecimento!$A$5:$A$310," "&amp;$C390))),Reconhecimento!$C$5:$C$310),"—"))</f>
        <v/>
      </c>
      <c r="I390" s="15">
        <f>IF($C390="","",IFERROR(VLOOKUP($G390,Tipos!$A$5:$B$51,2,FALSE),"—"))</f>
        <v/>
      </c>
      <c r="J390" s="15">
        <f>IF(COUNTA($A390:$C390)=0,"",IF($A390="","Falta a Área",IF($B390="","Falta o Setor",IF($C390="","Falta o nome",IF(COUNTIF($C$6:$C$403,$C390)&gt;1,"Nome repetido: use 01, 02… ou a Qtd",IF(LEFT($G390,7)="Confira","Confira o tipo na importação","OK"))))))</f>
        <v/>
      </c>
    </row>
    <row r="391">
      <c r="A391" s="16" t="n"/>
      <c r="B391" s="16" t="n"/>
      <c r="C391" s="16" t="n"/>
      <c r="D391" s="16" t="n"/>
      <c r="E391" s="17" t="n"/>
      <c r="F391" s="16" t="n"/>
      <c r="G391" s="15">
        <f>IF($C391="","",IFERROR(LOOKUP(2,1/((Reconhecimento!$A$5:$A$310&lt;&gt;"")*ISNUMBER(SEARCH(" "&amp;Reconhecimento!$A$5:$A$310," "&amp;$C391))),Reconhecimento!$B$5:$B$310),"Confira: escolha na importação"))</f>
        <v/>
      </c>
      <c r="H391" s="15">
        <f>IF($C391="","",IFERROR(LOOKUP(2,1/((Reconhecimento!$A$5:$A$310&lt;&gt;"")*ISNUMBER(SEARCH(" "&amp;Reconhecimento!$A$5:$A$310," "&amp;$C391))),Reconhecimento!$C$5:$C$310),"—"))</f>
        <v/>
      </c>
      <c r="I391" s="15">
        <f>IF($C391="","",IFERROR(VLOOKUP($G391,Tipos!$A$5:$B$51,2,FALSE),"—"))</f>
        <v/>
      </c>
      <c r="J391" s="15">
        <f>IF(COUNTA($A391:$C391)=0,"",IF($A391="","Falta a Área",IF($B391="","Falta o Setor",IF($C391="","Falta o nome",IF(COUNTIF($C$6:$C$403,$C391)&gt;1,"Nome repetido: use 01, 02… ou a Qtd",IF(LEFT($G391,7)="Confira","Confira o tipo na importação","OK"))))))</f>
        <v/>
      </c>
    </row>
    <row r="392">
      <c r="A392" s="16" t="n"/>
      <c r="B392" s="16" t="n"/>
      <c r="C392" s="16" t="n"/>
      <c r="D392" s="16" t="n"/>
      <c r="E392" s="17" t="n"/>
      <c r="F392" s="16" t="n"/>
      <c r="G392" s="15">
        <f>IF($C392="","",IFERROR(LOOKUP(2,1/((Reconhecimento!$A$5:$A$310&lt;&gt;"")*ISNUMBER(SEARCH(" "&amp;Reconhecimento!$A$5:$A$310," "&amp;$C392))),Reconhecimento!$B$5:$B$310),"Confira: escolha na importação"))</f>
        <v/>
      </c>
      <c r="H392" s="15">
        <f>IF($C392="","",IFERROR(LOOKUP(2,1/((Reconhecimento!$A$5:$A$310&lt;&gt;"")*ISNUMBER(SEARCH(" "&amp;Reconhecimento!$A$5:$A$310," "&amp;$C392))),Reconhecimento!$C$5:$C$310),"—"))</f>
        <v/>
      </c>
      <c r="I392" s="15">
        <f>IF($C392="","",IFERROR(VLOOKUP($G392,Tipos!$A$5:$B$51,2,FALSE),"—"))</f>
        <v/>
      </c>
      <c r="J392" s="15">
        <f>IF(COUNTA($A392:$C392)=0,"",IF($A392="","Falta a Área",IF($B392="","Falta o Setor",IF($C392="","Falta o nome",IF(COUNTIF($C$6:$C$403,$C392)&gt;1,"Nome repetido: use 01, 02… ou a Qtd",IF(LEFT($G392,7)="Confira","Confira o tipo na importação","OK"))))))</f>
        <v/>
      </c>
    </row>
    <row r="393">
      <c r="A393" s="16" t="n"/>
      <c r="B393" s="16" t="n"/>
      <c r="C393" s="16" t="n"/>
      <c r="D393" s="16" t="n"/>
      <c r="E393" s="17" t="n"/>
      <c r="F393" s="16" t="n"/>
      <c r="G393" s="15">
        <f>IF($C393="","",IFERROR(LOOKUP(2,1/((Reconhecimento!$A$5:$A$310&lt;&gt;"")*ISNUMBER(SEARCH(" "&amp;Reconhecimento!$A$5:$A$310," "&amp;$C393))),Reconhecimento!$B$5:$B$310),"Confira: escolha na importação"))</f>
        <v/>
      </c>
      <c r="H393" s="15">
        <f>IF($C393="","",IFERROR(LOOKUP(2,1/((Reconhecimento!$A$5:$A$310&lt;&gt;"")*ISNUMBER(SEARCH(" "&amp;Reconhecimento!$A$5:$A$310," "&amp;$C393))),Reconhecimento!$C$5:$C$310),"—"))</f>
        <v/>
      </c>
      <c r="I393" s="15">
        <f>IF($C393="","",IFERROR(VLOOKUP($G393,Tipos!$A$5:$B$51,2,FALSE),"—"))</f>
        <v/>
      </c>
      <c r="J393" s="15">
        <f>IF(COUNTA($A393:$C393)=0,"",IF($A393="","Falta a Área",IF($B393="","Falta o Setor",IF($C393="","Falta o nome",IF(COUNTIF($C$6:$C$403,$C393)&gt;1,"Nome repetido: use 01, 02… ou a Qtd",IF(LEFT($G393,7)="Confira","Confira o tipo na importação","OK"))))))</f>
        <v/>
      </c>
    </row>
    <row r="394">
      <c r="A394" s="16" t="n"/>
      <c r="B394" s="16" t="n"/>
      <c r="C394" s="16" t="n"/>
      <c r="D394" s="16" t="n"/>
      <c r="E394" s="17" t="n"/>
      <c r="F394" s="16" t="n"/>
      <c r="G394" s="15">
        <f>IF($C394="","",IFERROR(LOOKUP(2,1/((Reconhecimento!$A$5:$A$310&lt;&gt;"")*ISNUMBER(SEARCH(" "&amp;Reconhecimento!$A$5:$A$310," "&amp;$C394))),Reconhecimento!$B$5:$B$310),"Confira: escolha na importação"))</f>
        <v/>
      </c>
      <c r="H394" s="15">
        <f>IF($C394="","",IFERROR(LOOKUP(2,1/((Reconhecimento!$A$5:$A$310&lt;&gt;"")*ISNUMBER(SEARCH(" "&amp;Reconhecimento!$A$5:$A$310," "&amp;$C394))),Reconhecimento!$C$5:$C$310),"—"))</f>
        <v/>
      </c>
      <c r="I394" s="15">
        <f>IF($C394="","",IFERROR(VLOOKUP($G394,Tipos!$A$5:$B$51,2,FALSE),"—"))</f>
        <v/>
      </c>
      <c r="J394" s="15">
        <f>IF(COUNTA($A394:$C394)=0,"",IF($A394="","Falta a Área",IF($B394="","Falta o Setor",IF($C394="","Falta o nome",IF(COUNTIF($C$6:$C$403,$C394)&gt;1,"Nome repetido: use 01, 02… ou a Qtd",IF(LEFT($G394,7)="Confira","Confira o tipo na importação","OK"))))))</f>
        <v/>
      </c>
    </row>
    <row r="395">
      <c r="A395" s="16" t="n"/>
      <c r="B395" s="16" t="n"/>
      <c r="C395" s="16" t="n"/>
      <c r="D395" s="16" t="n"/>
      <c r="E395" s="17" t="n"/>
      <c r="F395" s="16" t="n"/>
      <c r="G395" s="15">
        <f>IF($C395="","",IFERROR(LOOKUP(2,1/((Reconhecimento!$A$5:$A$310&lt;&gt;"")*ISNUMBER(SEARCH(" "&amp;Reconhecimento!$A$5:$A$310," "&amp;$C395))),Reconhecimento!$B$5:$B$310),"Confira: escolha na importação"))</f>
        <v/>
      </c>
      <c r="H395" s="15">
        <f>IF($C395="","",IFERROR(LOOKUP(2,1/((Reconhecimento!$A$5:$A$310&lt;&gt;"")*ISNUMBER(SEARCH(" "&amp;Reconhecimento!$A$5:$A$310," "&amp;$C395))),Reconhecimento!$C$5:$C$310),"—"))</f>
        <v/>
      </c>
      <c r="I395" s="15">
        <f>IF($C395="","",IFERROR(VLOOKUP($G395,Tipos!$A$5:$B$51,2,FALSE),"—"))</f>
        <v/>
      </c>
      <c r="J395" s="15">
        <f>IF(COUNTA($A395:$C395)=0,"",IF($A395="","Falta a Área",IF($B395="","Falta o Setor",IF($C395="","Falta o nome",IF(COUNTIF($C$6:$C$403,$C395)&gt;1,"Nome repetido: use 01, 02… ou a Qtd",IF(LEFT($G395,7)="Confira","Confira o tipo na importação","OK"))))))</f>
        <v/>
      </c>
    </row>
    <row r="396">
      <c r="A396" s="16" t="n"/>
      <c r="B396" s="16" t="n"/>
      <c r="C396" s="16" t="n"/>
      <c r="D396" s="16" t="n"/>
      <c r="E396" s="17" t="n"/>
      <c r="F396" s="16" t="n"/>
      <c r="G396" s="15">
        <f>IF($C396="","",IFERROR(LOOKUP(2,1/((Reconhecimento!$A$5:$A$310&lt;&gt;"")*ISNUMBER(SEARCH(" "&amp;Reconhecimento!$A$5:$A$310," "&amp;$C396))),Reconhecimento!$B$5:$B$310),"Confira: escolha na importação"))</f>
        <v/>
      </c>
      <c r="H396" s="15">
        <f>IF($C396="","",IFERROR(LOOKUP(2,1/((Reconhecimento!$A$5:$A$310&lt;&gt;"")*ISNUMBER(SEARCH(" "&amp;Reconhecimento!$A$5:$A$310," "&amp;$C396))),Reconhecimento!$C$5:$C$310),"—"))</f>
        <v/>
      </c>
      <c r="I396" s="15">
        <f>IF($C396="","",IFERROR(VLOOKUP($G396,Tipos!$A$5:$B$51,2,FALSE),"—"))</f>
        <v/>
      </c>
      <c r="J396" s="15">
        <f>IF(COUNTA($A396:$C396)=0,"",IF($A396="","Falta a Área",IF($B396="","Falta o Setor",IF($C396="","Falta o nome",IF(COUNTIF($C$6:$C$403,$C396)&gt;1,"Nome repetido: use 01, 02… ou a Qtd",IF(LEFT($G396,7)="Confira","Confira o tipo na importação","OK"))))))</f>
        <v/>
      </c>
    </row>
    <row r="397">
      <c r="A397" s="16" t="n"/>
      <c r="B397" s="16" t="n"/>
      <c r="C397" s="16" t="n"/>
      <c r="D397" s="16" t="n"/>
      <c r="E397" s="17" t="n"/>
      <c r="F397" s="16" t="n"/>
      <c r="G397" s="15">
        <f>IF($C397="","",IFERROR(LOOKUP(2,1/((Reconhecimento!$A$5:$A$310&lt;&gt;"")*ISNUMBER(SEARCH(" "&amp;Reconhecimento!$A$5:$A$310," "&amp;$C397))),Reconhecimento!$B$5:$B$310),"Confira: escolha na importação"))</f>
        <v/>
      </c>
      <c r="H397" s="15">
        <f>IF($C397="","",IFERROR(LOOKUP(2,1/((Reconhecimento!$A$5:$A$310&lt;&gt;"")*ISNUMBER(SEARCH(" "&amp;Reconhecimento!$A$5:$A$310," "&amp;$C397))),Reconhecimento!$C$5:$C$310),"—"))</f>
        <v/>
      </c>
      <c r="I397" s="15">
        <f>IF($C397="","",IFERROR(VLOOKUP($G397,Tipos!$A$5:$B$51,2,FALSE),"—"))</f>
        <v/>
      </c>
      <c r="J397" s="15">
        <f>IF(COUNTA($A397:$C397)=0,"",IF($A397="","Falta a Área",IF($B397="","Falta o Setor",IF($C397="","Falta o nome",IF(COUNTIF($C$6:$C$403,$C397)&gt;1,"Nome repetido: use 01, 02… ou a Qtd",IF(LEFT($G397,7)="Confira","Confira o tipo na importação","OK"))))))</f>
        <v/>
      </c>
    </row>
    <row r="398">
      <c r="A398" s="16" t="n"/>
      <c r="B398" s="16" t="n"/>
      <c r="C398" s="16" t="n"/>
      <c r="D398" s="16" t="n"/>
      <c r="E398" s="17" t="n"/>
      <c r="F398" s="16" t="n"/>
      <c r="G398" s="15">
        <f>IF($C398="","",IFERROR(LOOKUP(2,1/((Reconhecimento!$A$5:$A$310&lt;&gt;"")*ISNUMBER(SEARCH(" "&amp;Reconhecimento!$A$5:$A$310," "&amp;$C398))),Reconhecimento!$B$5:$B$310),"Confira: escolha na importação"))</f>
        <v/>
      </c>
      <c r="H398" s="15">
        <f>IF($C398="","",IFERROR(LOOKUP(2,1/((Reconhecimento!$A$5:$A$310&lt;&gt;"")*ISNUMBER(SEARCH(" "&amp;Reconhecimento!$A$5:$A$310," "&amp;$C398))),Reconhecimento!$C$5:$C$310),"—"))</f>
        <v/>
      </c>
      <c r="I398" s="15">
        <f>IF($C398="","",IFERROR(VLOOKUP($G398,Tipos!$A$5:$B$51,2,FALSE),"—"))</f>
        <v/>
      </c>
      <c r="J398" s="15">
        <f>IF(COUNTA($A398:$C398)=0,"",IF($A398="","Falta a Área",IF($B398="","Falta o Setor",IF($C398="","Falta o nome",IF(COUNTIF($C$6:$C$403,$C398)&gt;1,"Nome repetido: use 01, 02… ou a Qtd",IF(LEFT($G398,7)="Confira","Confira o tipo na importação","OK"))))))</f>
        <v/>
      </c>
    </row>
    <row r="399">
      <c r="A399" s="16" t="n"/>
      <c r="B399" s="16" t="n"/>
      <c r="C399" s="16" t="n"/>
      <c r="D399" s="16" t="n"/>
      <c r="E399" s="17" t="n"/>
      <c r="F399" s="16" t="n"/>
      <c r="G399" s="15">
        <f>IF($C399="","",IFERROR(LOOKUP(2,1/((Reconhecimento!$A$5:$A$310&lt;&gt;"")*ISNUMBER(SEARCH(" "&amp;Reconhecimento!$A$5:$A$310," "&amp;$C399))),Reconhecimento!$B$5:$B$310),"Confira: escolha na importação"))</f>
        <v/>
      </c>
      <c r="H399" s="15">
        <f>IF($C399="","",IFERROR(LOOKUP(2,1/((Reconhecimento!$A$5:$A$310&lt;&gt;"")*ISNUMBER(SEARCH(" "&amp;Reconhecimento!$A$5:$A$310," "&amp;$C399))),Reconhecimento!$C$5:$C$310),"—"))</f>
        <v/>
      </c>
      <c r="I399" s="15">
        <f>IF($C399="","",IFERROR(VLOOKUP($G399,Tipos!$A$5:$B$51,2,FALSE),"—"))</f>
        <v/>
      </c>
      <c r="J399" s="15">
        <f>IF(COUNTA($A399:$C399)=0,"",IF($A399="","Falta a Área",IF($B399="","Falta o Setor",IF($C399="","Falta o nome",IF(COUNTIF($C$6:$C$403,$C399)&gt;1,"Nome repetido: use 01, 02… ou a Qtd",IF(LEFT($G399,7)="Confira","Confira o tipo na importação","OK"))))))</f>
        <v/>
      </c>
    </row>
    <row r="400">
      <c r="A400" s="16" t="n"/>
      <c r="B400" s="16" t="n"/>
      <c r="C400" s="16" t="n"/>
      <c r="D400" s="16" t="n"/>
      <c r="E400" s="17" t="n"/>
      <c r="F400" s="16" t="n"/>
      <c r="G400" s="15">
        <f>IF($C400="","",IFERROR(LOOKUP(2,1/((Reconhecimento!$A$5:$A$310&lt;&gt;"")*ISNUMBER(SEARCH(" "&amp;Reconhecimento!$A$5:$A$310," "&amp;$C400))),Reconhecimento!$B$5:$B$310),"Confira: escolha na importação"))</f>
        <v/>
      </c>
      <c r="H400" s="15">
        <f>IF($C400="","",IFERROR(LOOKUP(2,1/((Reconhecimento!$A$5:$A$310&lt;&gt;"")*ISNUMBER(SEARCH(" "&amp;Reconhecimento!$A$5:$A$310," "&amp;$C400))),Reconhecimento!$C$5:$C$310),"—"))</f>
        <v/>
      </c>
      <c r="I400" s="15">
        <f>IF($C400="","",IFERROR(VLOOKUP($G400,Tipos!$A$5:$B$51,2,FALSE),"—"))</f>
        <v/>
      </c>
      <c r="J400" s="15">
        <f>IF(COUNTA($A400:$C400)=0,"",IF($A400="","Falta a Área",IF($B400="","Falta o Setor",IF($C400="","Falta o nome",IF(COUNTIF($C$6:$C$403,$C400)&gt;1,"Nome repetido: use 01, 02… ou a Qtd",IF(LEFT($G400,7)="Confira","Confira o tipo na importação","OK"))))))</f>
        <v/>
      </c>
    </row>
    <row r="401">
      <c r="A401" s="16" t="n"/>
      <c r="B401" s="16" t="n"/>
      <c r="C401" s="16" t="n"/>
      <c r="D401" s="16" t="n"/>
      <c r="E401" s="17" t="n"/>
      <c r="F401" s="16" t="n"/>
      <c r="G401" s="15">
        <f>IF($C401="","",IFERROR(LOOKUP(2,1/((Reconhecimento!$A$5:$A$310&lt;&gt;"")*ISNUMBER(SEARCH(" "&amp;Reconhecimento!$A$5:$A$310," "&amp;$C401))),Reconhecimento!$B$5:$B$310),"Confira: escolha na importação"))</f>
        <v/>
      </c>
      <c r="H401" s="15">
        <f>IF($C401="","",IFERROR(LOOKUP(2,1/((Reconhecimento!$A$5:$A$310&lt;&gt;"")*ISNUMBER(SEARCH(" "&amp;Reconhecimento!$A$5:$A$310," "&amp;$C401))),Reconhecimento!$C$5:$C$310),"—"))</f>
        <v/>
      </c>
      <c r="I401" s="15">
        <f>IF($C401="","",IFERROR(VLOOKUP($G401,Tipos!$A$5:$B$51,2,FALSE),"—"))</f>
        <v/>
      </c>
      <c r="J401" s="15">
        <f>IF(COUNTA($A401:$C401)=0,"",IF($A401="","Falta a Área",IF($B401="","Falta o Setor",IF($C401="","Falta o nome",IF(COUNTIF($C$6:$C$403,$C401)&gt;1,"Nome repetido: use 01, 02… ou a Qtd",IF(LEFT($G401,7)="Confira","Confira o tipo na importação","OK"))))))</f>
        <v/>
      </c>
    </row>
    <row r="402">
      <c r="A402" s="16" t="n"/>
      <c r="B402" s="16" t="n"/>
      <c r="C402" s="16" t="n"/>
      <c r="D402" s="16" t="n"/>
      <c r="E402" s="17" t="n"/>
      <c r="F402" s="16" t="n"/>
      <c r="G402" s="15">
        <f>IF($C402="","",IFERROR(LOOKUP(2,1/((Reconhecimento!$A$5:$A$310&lt;&gt;"")*ISNUMBER(SEARCH(" "&amp;Reconhecimento!$A$5:$A$310," "&amp;$C402))),Reconhecimento!$B$5:$B$310),"Confira: escolha na importação"))</f>
        <v/>
      </c>
      <c r="H402" s="15">
        <f>IF($C402="","",IFERROR(LOOKUP(2,1/((Reconhecimento!$A$5:$A$310&lt;&gt;"")*ISNUMBER(SEARCH(" "&amp;Reconhecimento!$A$5:$A$310," "&amp;$C402))),Reconhecimento!$C$5:$C$310),"—"))</f>
        <v/>
      </c>
      <c r="I402" s="15">
        <f>IF($C402="","",IFERROR(VLOOKUP($G402,Tipos!$A$5:$B$51,2,FALSE),"—"))</f>
        <v/>
      </c>
      <c r="J402" s="15">
        <f>IF(COUNTA($A402:$C402)=0,"",IF($A402="","Falta a Área",IF($B402="","Falta o Setor",IF($C402="","Falta o nome",IF(COUNTIF($C$6:$C$403,$C402)&gt;1,"Nome repetido: use 01, 02… ou a Qtd",IF(LEFT($G402,7)="Confira","Confira o tipo na importação","OK"))))))</f>
        <v/>
      </c>
    </row>
    <row r="403">
      <c r="A403" s="16" t="n"/>
      <c r="B403" s="16" t="n"/>
      <c r="C403" s="16" t="n"/>
      <c r="D403" s="16" t="n"/>
      <c r="E403" s="17" t="n"/>
      <c r="F403" s="16" t="n"/>
      <c r="G403" s="15">
        <f>IF($C403="","",IFERROR(LOOKUP(2,1/((Reconhecimento!$A$5:$A$310&lt;&gt;"")*ISNUMBER(SEARCH(" "&amp;Reconhecimento!$A$5:$A$310," "&amp;$C403))),Reconhecimento!$B$5:$B$310),"Confira: escolha na importação"))</f>
        <v/>
      </c>
      <c r="H403" s="15">
        <f>IF($C403="","",IFERROR(LOOKUP(2,1/((Reconhecimento!$A$5:$A$310&lt;&gt;"")*ISNUMBER(SEARCH(" "&amp;Reconhecimento!$A$5:$A$310," "&amp;$C403))),Reconhecimento!$C$5:$C$310),"—"))</f>
        <v/>
      </c>
      <c r="I403" s="15">
        <f>IF($C403="","",IFERROR(VLOOKUP($G403,Tipos!$A$5:$B$51,2,FALSE),"—"))</f>
        <v/>
      </c>
      <c r="J403" s="15">
        <f>IF(COUNTA($A403:$C403)=0,"",IF($A403="","Falta a Área",IF($B403="","Falta o Setor",IF($C403="","Falta o nome",IF(COUNTIF($C$6:$C$403,$C403)&gt;1,"Nome repetido: use 01, 02… ou a Qtd",IF(LEFT($G403,7)="Confira","Confira o tipo na importação","OK"))))))</f>
        <v/>
      </c>
    </row>
  </sheetData>
  <autoFilter ref="A3:J403"/>
  <conditionalFormatting sqref="J4:J403">
    <cfRule type="expression" priority="1" dxfId="0">
      <formula>$J4="OK"</formula>
    </cfRule>
    <cfRule type="expression" priority="2" dxfId="1">
      <formula>LEFT($J4,7)="Confira"</formula>
    </cfRule>
    <cfRule type="expression" priority="3" dxfId="2">
      <formula>AND($J4&lt;&gt;"",$J4&lt;&gt;"OK",LEFT($J4,7)&lt;&gt;"Confira")</formula>
    </cfRule>
  </conditionalFormatting>
  <conditionalFormatting sqref="G4:G403">
    <cfRule type="expression" priority="4" dxfId="3">
      <formula>LEFT($G4,7)="Confira"</formula>
    </cfRule>
  </conditionalFormatting>
  <dataValidations count="4">
    <dataValidation sqref="A4:A403" showDropDown="0" showInputMessage="0" showErrorMessage="0" allowBlank="1" type="list">
      <formula1>='Áreas e setores'!$D$5:$D$34</formula1>
    </dataValidation>
    <dataValidation sqref="B4:B403" showDropDown="0" showInputMessage="0" showErrorMessage="0" allowBlank="1" type="list">
      <formula1>='Áreas e setores'!$B$5:$B$84</formula1>
    </dataValidation>
    <dataValidation sqref="D4:D403" showDropDown="0" showInputMessage="0" showErrorMessage="1" allowBlank="1" error="Quantidade de 1 a 100." type="whole" operator="between">
      <formula1>1</formula1>
      <formula2>100</formula2>
    </dataValidation>
    <dataValidation sqref="E4:E403" showDropDown="0" showInputMessage="0" showErrorMessage="1" allowBlank="1" error="Digite a data (dd/mm/aaaa), até hoje." type="date" operator="between">
      <formula1>DATE(2015,1,1)</formula1>
      <formula2>TODAY()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4" customWidth="1" min="4" max="4"/>
  </cols>
  <sheetData>
    <row r="1">
      <c r="A1" s="9" t="inlineStr">
        <is>
          <t>Áreas e setores da loja</t>
        </is>
      </c>
    </row>
    <row r="2">
      <c r="A2" s="2" t="inlineStr">
        <is>
          <t>Sugestão inicial. Inclua ou renomeie à vontade: as listas da aba Equipamentos vêm daqui.</t>
        </is>
      </c>
    </row>
    <row r="4">
      <c r="A4" s="18" t="inlineStr">
        <is>
          <t>Área</t>
        </is>
      </c>
      <c r="B4" s="18" t="inlineStr">
        <is>
          <t>Setor</t>
        </is>
      </c>
      <c r="D4" s="19" t="inlineStr">
        <is>
          <t>Áreas (lista)</t>
        </is>
      </c>
    </row>
    <row r="5">
      <c r="A5" s="20" t="inlineStr">
        <is>
          <t>Cozinha</t>
        </is>
      </c>
      <c r="B5" s="20" t="inlineStr">
        <is>
          <t>Cozinha quente</t>
        </is>
      </c>
      <c r="D5" s="21" t="inlineStr">
        <is>
          <t>Cozinha</t>
        </is>
      </c>
    </row>
    <row r="6">
      <c r="A6" s="20" t="inlineStr">
        <is>
          <t>Cozinha</t>
        </is>
      </c>
      <c r="B6" s="20" t="inlineStr">
        <is>
          <t>Cozinha fria</t>
        </is>
      </c>
      <c r="D6" s="21" t="inlineStr">
        <is>
          <t>Estoque</t>
        </is>
      </c>
    </row>
    <row r="7">
      <c r="A7" s="20" t="inlineStr">
        <is>
          <t>Cozinha</t>
        </is>
      </c>
      <c r="B7" s="20" t="inlineStr">
        <is>
          <t>Sobremesa</t>
        </is>
      </c>
      <c r="D7" s="21" t="inlineStr">
        <is>
          <t>Salão</t>
        </is>
      </c>
    </row>
    <row r="8">
      <c r="A8" s="20" t="inlineStr">
        <is>
          <t>Cozinha</t>
        </is>
      </c>
      <c r="B8" s="20" t="inlineStr">
        <is>
          <t>Copa</t>
        </is>
      </c>
      <c r="D8" s="21" t="inlineStr">
        <is>
          <t>Bar</t>
        </is>
      </c>
    </row>
    <row r="9">
      <c r="A9" s="20" t="inlineStr">
        <is>
          <t>Cozinha</t>
        </is>
      </c>
      <c r="B9" s="20" t="inlineStr">
        <is>
          <t>Lavagem</t>
        </is>
      </c>
      <c r="D9" s="21" t="inlineStr">
        <is>
          <t>Banheiros</t>
        </is>
      </c>
    </row>
    <row r="10">
      <c r="A10" s="20" t="inlineStr">
        <is>
          <t>Estoque</t>
        </is>
      </c>
      <c r="B10" s="20" t="inlineStr">
        <is>
          <t>Câmaras frias</t>
        </is>
      </c>
      <c r="D10" s="21" t="inlineStr">
        <is>
          <t>Área técnica</t>
        </is>
      </c>
    </row>
    <row r="11">
      <c r="A11" s="20" t="inlineStr">
        <is>
          <t>Estoque</t>
        </is>
      </c>
      <c r="B11" s="20" t="inlineStr">
        <is>
          <t>Estoque seco</t>
        </is>
      </c>
      <c r="D11" s="21" t="inlineStr">
        <is>
          <t>Administrativo</t>
        </is>
      </c>
    </row>
    <row r="12">
      <c r="A12" s="20" t="inlineStr">
        <is>
          <t>Salão</t>
        </is>
      </c>
      <c r="B12" s="20" t="inlineStr">
        <is>
          <t>Salão principal</t>
        </is>
      </c>
      <c r="D12" s="21" t="inlineStr">
        <is>
          <t>Área externa</t>
        </is>
      </c>
    </row>
    <row r="13">
      <c r="A13" s="20" t="inlineStr">
        <is>
          <t>Salão</t>
        </is>
      </c>
      <c r="B13" s="20" t="inlineStr">
        <is>
          <t>Salão frente do bar</t>
        </is>
      </c>
      <c r="D13" s="21" t="n"/>
    </row>
    <row r="14">
      <c r="A14" s="20" t="inlineStr">
        <is>
          <t>Salão</t>
        </is>
      </c>
      <c r="B14" s="20" t="inlineStr">
        <is>
          <t>Varanda</t>
        </is>
      </c>
      <c r="D14" s="21" t="n"/>
    </row>
    <row r="15">
      <c r="A15" s="20" t="inlineStr">
        <is>
          <t>Bar</t>
        </is>
      </c>
      <c r="B15" s="20" t="inlineStr">
        <is>
          <t>Balcão do bar</t>
        </is>
      </c>
      <c r="D15" s="21" t="n"/>
    </row>
    <row r="16">
      <c r="A16" s="20" t="inlineStr">
        <is>
          <t>Banheiros</t>
        </is>
      </c>
      <c r="B16" s="20" t="inlineStr">
        <is>
          <t>Banheiro clientes</t>
        </is>
      </c>
      <c r="D16" s="21" t="n"/>
    </row>
    <row r="17">
      <c r="A17" s="20" t="inlineStr">
        <is>
          <t>Banheiros</t>
        </is>
      </c>
      <c r="B17" s="20" t="inlineStr">
        <is>
          <t>Banheiro funcionários</t>
        </is>
      </c>
      <c r="D17" s="21" t="n"/>
    </row>
    <row r="18">
      <c r="A18" s="20" t="inlineStr">
        <is>
          <t>Área técnica</t>
        </is>
      </c>
      <c r="B18" s="20" t="inlineStr">
        <is>
          <t>Casa de máquinas</t>
        </is>
      </c>
      <c r="D18" s="21" t="n"/>
    </row>
    <row r="19">
      <c r="A19" s="20" t="inlineStr">
        <is>
          <t>Área técnica</t>
        </is>
      </c>
      <c r="B19" s="20" t="inlineStr">
        <is>
          <t>Quadros elétricos</t>
        </is>
      </c>
      <c r="D19" s="21" t="n"/>
    </row>
    <row r="20">
      <c r="A20" s="20" t="inlineStr">
        <is>
          <t>Administrativo</t>
        </is>
      </c>
      <c r="B20" s="20" t="inlineStr">
        <is>
          <t>Escritório</t>
        </is>
      </c>
      <c r="D20" s="21" t="n"/>
    </row>
    <row r="21">
      <c r="A21" s="20" t="inlineStr">
        <is>
          <t>Área externa</t>
        </is>
      </c>
      <c r="B21" s="20" t="inlineStr">
        <is>
          <t>Fachada</t>
        </is>
      </c>
      <c r="D21" s="21" t="n"/>
    </row>
    <row r="22">
      <c r="A22" s="20" t="n"/>
      <c r="B22" s="20" t="n"/>
      <c r="D22" s="21" t="n"/>
    </row>
    <row r="23">
      <c r="A23" s="20" t="n"/>
      <c r="B23" s="20" t="n"/>
      <c r="D23" s="21" t="n"/>
    </row>
    <row r="24">
      <c r="A24" s="20" t="n"/>
      <c r="B24" s="20" t="n"/>
      <c r="D24" s="21" t="n"/>
    </row>
    <row r="25">
      <c r="A25" s="20" t="n"/>
      <c r="B25" s="20" t="n"/>
      <c r="D25" s="21" t="n"/>
    </row>
    <row r="26">
      <c r="A26" s="20" t="n"/>
      <c r="B26" s="20" t="n"/>
      <c r="D26" s="21" t="n"/>
    </row>
    <row r="27">
      <c r="A27" s="20" t="n"/>
      <c r="B27" s="20" t="n"/>
      <c r="D27" s="21" t="n"/>
    </row>
    <row r="28">
      <c r="A28" s="20" t="n"/>
      <c r="B28" s="20" t="n"/>
      <c r="D28" s="21" t="n"/>
    </row>
    <row r="29">
      <c r="A29" s="20" t="n"/>
      <c r="B29" s="20" t="n"/>
      <c r="D29" s="21" t="n"/>
    </row>
    <row r="30">
      <c r="A30" s="20" t="n"/>
      <c r="B30" s="20" t="n"/>
      <c r="D30" s="21" t="n"/>
    </row>
    <row r="31">
      <c r="A31" s="20" t="n"/>
      <c r="B31" s="20" t="n"/>
      <c r="D31" s="21" t="n"/>
    </row>
    <row r="32">
      <c r="A32" s="20" t="n"/>
      <c r="B32" s="20" t="n"/>
      <c r="D32" s="21" t="n"/>
    </row>
    <row r="33">
      <c r="A33" s="20" t="n"/>
      <c r="B33" s="20" t="n"/>
      <c r="D33" s="21" t="n"/>
    </row>
    <row r="34">
      <c r="A34" s="20" t="n"/>
      <c r="B34" s="20" t="n"/>
      <c r="D34" s="21" t="n"/>
    </row>
    <row r="35">
      <c r="A35" s="20" t="n"/>
      <c r="B35" s="20" t="n"/>
    </row>
    <row r="36">
      <c r="A36" s="20" t="n"/>
      <c r="B36" s="20" t="n"/>
    </row>
    <row r="37">
      <c r="A37" s="20" t="n"/>
      <c r="B37" s="20" t="n"/>
    </row>
    <row r="38">
      <c r="A38" s="20" t="n"/>
      <c r="B38" s="20" t="n"/>
    </row>
    <row r="39">
      <c r="A39" s="20" t="n"/>
      <c r="B39" s="20" t="n"/>
    </row>
    <row r="40">
      <c r="A40" s="20" t="n"/>
      <c r="B40" s="20" t="n"/>
    </row>
    <row r="41">
      <c r="A41" s="20" t="n"/>
      <c r="B41" s="20" t="n"/>
    </row>
    <row r="42">
      <c r="A42" s="20" t="n"/>
      <c r="B42" s="20" t="n"/>
    </row>
    <row r="43">
      <c r="A43" s="20" t="n"/>
      <c r="B43" s="20" t="n"/>
    </row>
    <row r="44">
      <c r="A44" s="20" t="n"/>
      <c r="B44" s="20" t="n"/>
    </row>
    <row r="45">
      <c r="A45" s="20" t="n"/>
      <c r="B45" s="20" t="n"/>
    </row>
    <row r="46">
      <c r="A46" s="20" t="n"/>
      <c r="B46" s="20" t="n"/>
    </row>
    <row r="47">
      <c r="A47" s="20" t="n"/>
      <c r="B47" s="20" t="n"/>
    </row>
    <row r="48">
      <c r="A48" s="20" t="n"/>
      <c r="B48" s="20" t="n"/>
    </row>
    <row r="49">
      <c r="A49" s="20" t="n"/>
      <c r="B49" s="20" t="n"/>
    </row>
    <row r="50">
      <c r="A50" s="20" t="n"/>
      <c r="B50" s="20" t="n"/>
    </row>
    <row r="51">
      <c r="A51" s="20" t="n"/>
      <c r="B51" s="20" t="n"/>
    </row>
    <row r="52">
      <c r="A52" s="20" t="n"/>
      <c r="B52" s="20" t="n"/>
    </row>
    <row r="53">
      <c r="A53" s="20" t="n"/>
      <c r="B53" s="20" t="n"/>
    </row>
    <row r="54">
      <c r="A54" s="20" t="n"/>
      <c r="B54" s="20" t="n"/>
    </row>
    <row r="55">
      <c r="A55" s="20" t="n"/>
      <c r="B55" s="20" t="n"/>
    </row>
    <row r="56">
      <c r="A56" s="20" t="n"/>
      <c r="B56" s="20" t="n"/>
    </row>
    <row r="57">
      <c r="A57" s="20" t="n"/>
      <c r="B57" s="20" t="n"/>
    </row>
    <row r="58">
      <c r="A58" s="20" t="n"/>
      <c r="B58" s="20" t="n"/>
    </row>
    <row r="59">
      <c r="A59" s="20" t="n"/>
      <c r="B59" s="20" t="n"/>
    </row>
    <row r="60">
      <c r="A60" s="20" t="n"/>
      <c r="B60" s="20" t="n"/>
    </row>
    <row r="61">
      <c r="A61" s="20" t="n"/>
      <c r="B61" s="20" t="n"/>
    </row>
    <row r="62">
      <c r="A62" s="20" t="n"/>
      <c r="B62" s="20" t="n"/>
    </row>
    <row r="63">
      <c r="A63" s="20" t="n"/>
      <c r="B63" s="20" t="n"/>
    </row>
    <row r="64">
      <c r="A64" s="20" t="n"/>
      <c r="B64" s="20" t="n"/>
    </row>
    <row r="65">
      <c r="A65" s="20" t="n"/>
      <c r="B65" s="20" t="n"/>
    </row>
    <row r="66">
      <c r="A66" s="20" t="n"/>
      <c r="B66" s="20" t="n"/>
    </row>
    <row r="67">
      <c r="A67" s="20" t="n"/>
      <c r="B67" s="20" t="n"/>
    </row>
    <row r="68">
      <c r="A68" s="20" t="n"/>
      <c r="B68" s="20" t="n"/>
    </row>
    <row r="69">
      <c r="A69" s="20" t="n"/>
      <c r="B69" s="20" t="n"/>
    </row>
    <row r="70">
      <c r="A70" s="20" t="n"/>
      <c r="B70" s="20" t="n"/>
    </row>
    <row r="71">
      <c r="A71" s="20" t="n"/>
      <c r="B71" s="20" t="n"/>
    </row>
    <row r="72">
      <c r="A72" s="20" t="n"/>
      <c r="B72" s="20" t="n"/>
    </row>
    <row r="73">
      <c r="A73" s="20" t="n"/>
      <c r="B73" s="20" t="n"/>
    </row>
    <row r="74">
      <c r="A74" s="20" t="n"/>
      <c r="B74" s="20" t="n"/>
    </row>
    <row r="75">
      <c r="A75" s="20" t="n"/>
      <c r="B75" s="20" t="n"/>
    </row>
    <row r="76">
      <c r="A76" s="20" t="n"/>
      <c r="B76" s="20" t="n"/>
    </row>
    <row r="77">
      <c r="A77" s="20" t="n"/>
      <c r="B77" s="20" t="n"/>
    </row>
    <row r="78">
      <c r="A78" s="20" t="n"/>
      <c r="B78" s="20" t="n"/>
    </row>
    <row r="79">
      <c r="A79" s="20" t="n"/>
      <c r="B79" s="20" t="n"/>
    </row>
    <row r="80">
      <c r="A80" s="20" t="n"/>
      <c r="B80" s="20" t="n"/>
    </row>
    <row r="81">
      <c r="A81" s="20" t="n"/>
      <c r="B81" s="20" t="n"/>
    </row>
    <row r="82">
      <c r="A82" s="20" t="n"/>
      <c r="B82" s="20" t="n"/>
    </row>
    <row r="83">
      <c r="A83" s="20" t="n"/>
      <c r="B83" s="20" t="n"/>
    </row>
    <row r="84">
      <c r="A84" s="20" t="n"/>
      <c r="B84" s="2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26" customWidth="1" min="3" max="3"/>
  </cols>
  <sheetData>
    <row r="1">
      <c r="A1" s="9" t="inlineStr">
        <is>
          <t>Como o sistema reconhece o equipamento pelo nome</t>
        </is>
      </c>
    </row>
    <row r="2" ht="30" customHeight="1">
      <c r="A2" s="22" t="inlineStr">
        <is>
          <t>Se o nome tiver a palavra da coluna A, o equipamento recebe o Tipo e a Categoria da linha. Vale a última palavra da lista encontrada no nome. Pode incluir palavras novas no fim (ex.: um apelido que a equipe usa).</t>
        </is>
      </c>
    </row>
    <row r="4">
      <c r="A4" s="18" t="inlineStr">
        <is>
          <t>Palavra no nome</t>
        </is>
      </c>
      <c r="B4" s="18" t="inlineStr">
        <is>
          <t>Tipo (define as preventivas)</t>
        </is>
      </c>
      <c r="C4" s="18" t="inlineStr">
        <is>
          <t>Categoria (chamado)</t>
        </is>
      </c>
    </row>
    <row r="5">
      <c r="A5" s="23" t="inlineStr">
        <is>
          <t>cadeira</t>
        </is>
      </c>
      <c r="B5" s="23" t="inlineStr">
        <is>
          <t>Mobiliário</t>
        </is>
      </c>
      <c r="C5" s="23" t="inlineStr">
        <is>
          <t>Móveis</t>
        </is>
      </c>
    </row>
    <row r="6">
      <c r="A6" s="23" t="inlineStr">
        <is>
          <t>mesa</t>
        </is>
      </c>
      <c r="B6" s="23" t="inlineStr">
        <is>
          <t>Mobiliário</t>
        </is>
      </c>
      <c r="C6" s="23" t="inlineStr">
        <is>
          <t>Móveis</t>
        </is>
      </c>
    </row>
    <row r="7">
      <c r="A7" s="23" t="inlineStr">
        <is>
          <t>sofá</t>
        </is>
      </c>
      <c r="B7" s="23" t="inlineStr">
        <is>
          <t>Mobiliário</t>
        </is>
      </c>
      <c r="C7" s="23" t="inlineStr">
        <is>
          <t>Móveis</t>
        </is>
      </c>
    </row>
    <row r="8">
      <c r="A8" s="23" t="inlineStr">
        <is>
          <t>sofa</t>
        </is>
      </c>
      <c r="B8" s="23" t="inlineStr">
        <is>
          <t>Mobiliário</t>
        </is>
      </c>
      <c r="C8" s="23" t="inlineStr">
        <is>
          <t>Móveis</t>
        </is>
      </c>
    </row>
    <row r="9">
      <c r="A9" s="23" t="inlineStr">
        <is>
          <t>banqueta</t>
        </is>
      </c>
      <c r="B9" s="23" t="inlineStr">
        <is>
          <t>Mobiliário</t>
        </is>
      </c>
      <c r="C9" s="23" t="inlineStr">
        <is>
          <t>Móveis</t>
        </is>
      </c>
    </row>
    <row r="10">
      <c r="A10" s="23" t="inlineStr">
        <is>
          <t xml:space="preserve">banco </t>
        </is>
      </c>
      <c r="B10" s="23" t="inlineStr">
        <is>
          <t>Mobiliário</t>
        </is>
      </c>
      <c r="C10" s="23" t="inlineStr">
        <is>
          <t>Móveis</t>
        </is>
      </c>
    </row>
    <row r="11">
      <c r="A11" s="23" t="inlineStr">
        <is>
          <t>poltrona</t>
        </is>
      </c>
      <c r="B11" s="23" t="inlineStr">
        <is>
          <t>Mobiliário</t>
        </is>
      </c>
      <c r="C11" s="23" t="inlineStr">
        <is>
          <t>Móveis</t>
        </is>
      </c>
    </row>
    <row r="12">
      <c r="A12" s="23" t="inlineStr">
        <is>
          <t>aparador</t>
        </is>
      </c>
      <c r="B12" s="23" t="inlineStr">
        <is>
          <t>Mobiliário</t>
        </is>
      </c>
      <c r="C12" s="23" t="inlineStr">
        <is>
          <t>Móveis</t>
        </is>
      </c>
    </row>
    <row r="13">
      <c r="A13" s="23" t="inlineStr">
        <is>
          <t>armário</t>
        </is>
      </c>
      <c r="B13" s="23" t="inlineStr">
        <is>
          <t>Mobiliário</t>
        </is>
      </c>
      <c r="C13" s="23" t="inlineStr">
        <is>
          <t>Móveis</t>
        </is>
      </c>
    </row>
    <row r="14">
      <c r="A14" s="23" t="inlineStr">
        <is>
          <t>armario</t>
        </is>
      </c>
      <c r="B14" s="23" t="inlineStr">
        <is>
          <t>Mobiliário</t>
        </is>
      </c>
      <c r="C14" s="23" t="inlineStr">
        <is>
          <t>Móveis</t>
        </is>
      </c>
    </row>
    <row r="15">
      <c r="A15" s="23" t="inlineStr">
        <is>
          <t>estante</t>
        </is>
      </c>
      <c r="B15" s="23" t="inlineStr">
        <is>
          <t>Mobiliário</t>
        </is>
      </c>
      <c r="C15" s="23" t="inlineStr">
        <is>
          <t>Móveis</t>
        </is>
      </c>
    </row>
    <row r="16">
      <c r="A16" s="23" t="inlineStr">
        <is>
          <t>prateleira</t>
        </is>
      </c>
      <c r="B16" s="23" t="inlineStr">
        <is>
          <t>Mobiliário</t>
        </is>
      </c>
      <c r="C16" s="23" t="inlineStr">
        <is>
          <t>Móveis</t>
        </is>
      </c>
    </row>
    <row r="17">
      <c r="A17" s="23" t="inlineStr">
        <is>
          <t>balcão</t>
        </is>
      </c>
      <c r="B17" s="23" t="inlineStr">
        <is>
          <t>Mobiliário</t>
        </is>
      </c>
      <c r="C17" s="23" t="inlineStr">
        <is>
          <t>Móveis</t>
        </is>
      </c>
    </row>
    <row r="18">
      <c r="A18" s="23" t="inlineStr">
        <is>
          <t>balcao</t>
        </is>
      </c>
      <c r="B18" s="23" t="inlineStr">
        <is>
          <t>Mobiliário</t>
        </is>
      </c>
      <c r="C18" s="23" t="inlineStr">
        <is>
          <t>Móveis</t>
        </is>
      </c>
    </row>
    <row r="19">
      <c r="A19" s="23" t="inlineStr">
        <is>
          <t>gaveteiro</t>
        </is>
      </c>
      <c r="B19" s="23" t="inlineStr">
        <is>
          <t>Mobiliário</t>
        </is>
      </c>
      <c r="C19" s="23" t="inlineStr">
        <is>
          <t>Móveis</t>
        </is>
      </c>
    </row>
    <row r="20">
      <c r="A20" s="23" t="inlineStr">
        <is>
          <t>cristaleira</t>
        </is>
      </c>
      <c r="B20" s="23" t="inlineStr">
        <is>
          <t>Mobiliário</t>
        </is>
      </c>
      <c r="C20" s="23" t="inlineStr">
        <is>
          <t>Móveis</t>
        </is>
      </c>
    </row>
    <row r="21">
      <c r="A21" s="23" t="inlineStr">
        <is>
          <t>carrinho</t>
        </is>
      </c>
      <c r="B21" s="23" t="inlineStr">
        <is>
          <t>Mobiliário</t>
        </is>
      </c>
      <c r="C21" s="23" t="inlineStr">
        <is>
          <t>Móveis</t>
        </is>
      </c>
    </row>
    <row r="22">
      <c r="A22" s="23" t="inlineStr">
        <is>
          <t>lixeira</t>
        </is>
      </c>
      <c r="B22" s="23" t="inlineStr">
        <is>
          <t>Mobiliário</t>
        </is>
      </c>
      <c r="C22" s="23" t="inlineStr">
        <is>
          <t>Móveis</t>
        </is>
      </c>
    </row>
    <row r="23">
      <c r="A23" s="23" t="inlineStr">
        <is>
          <t>cadeirão</t>
        </is>
      </c>
      <c r="B23" s="23" t="inlineStr">
        <is>
          <t>Mobiliário</t>
        </is>
      </c>
      <c r="C23" s="23" t="inlineStr">
        <is>
          <t>Móveis</t>
        </is>
      </c>
    </row>
    <row r="24">
      <c r="A24" s="23" t="inlineStr">
        <is>
          <t>cadeirao</t>
        </is>
      </c>
      <c r="B24" s="23" t="inlineStr">
        <is>
          <t>Mobiliário</t>
        </is>
      </c>
      <c r="C24" s="23" t="inlineStr">
        <is>
          <t>Móveis</t>
        </is>
      </c>
    </row>
    <row r="25">
      <c r="A25" s="23" t="inlineStr">
        <is>
          <t>porta</t>
        </is>
      </c>
      <c r="B25" s="23" t="inlineStr">
        <is>
          <t>Predial e estrutura</t>
        </is>
      </c>
      <c r="C25" s="23" t="inlineStr">
        <is>
          <t>Predial</t>
        </is>
      </c>
    </row>
    <row r="26">
      <c r="A26" s="23" t="inlineStr">
        <is>
          <t>janela</t>
        </is>
      </c>
      <c r="B26" s="23" t="inlineStr">
        <is>
          <t>Predial e estrutura</t>
        </is>
      </c>
      <c r="C26" s="23" t="inlineStr">
        <is>
          <t>Predial</t>
        </is>
      </c>
    </row>
    <row r="27">
      <c r="A27" s="23" t="inlineStr">
        <is>
          <t>piso</t>
        </is>
      </c>
      <c r="B27" s="23" t="inlineStr">
        <is>
          <t>Predial e estrutura</t>
        </is>
      </c>
      <c r="C27" s="23" t="inlineStr">
        <is>
          <t>Predial</t>
        </is>
      </c>
    </row>
    <row r="28">
      <c r="A28" s="23" t="inlineStr">
        <is>
          <t>forro</t>
        </is>
      </c>
      <c r="B28" s="23" t="inlineStr">
        <is>
          <t>Predial e estrutura</t>
        </is>
      </c>
      <c r="C28" s="23" t="inlineStr">
        <is>
          <t>Predial</t>
        </is>
      </c>
    </row>
    <row r="29">
      <c r="A29" s="23" t="inlineStr">
        <is>
          <t>parede</t>
        </is>
      </c>
      <c r="B29" s="23" t="inlineStr">
        <is>
          <t>Predial e estrutura</t>
        </is>
      </c>
      <c r="C29" s="23" t="inlineStr">
        <is>
          <t>Predial</t>
        </is>
      </c>
    </row>
    <row r="30">
      <c r="A30" s="23" t="inlineStr">
        <is>
          <t>teto</t>
        </is>
      </c>
      <c r="B30" s="23" t="inlineStr">
        <is>
          <t>Predial e estrutura</t>
        </is>
      </c>
      <c r="C30" s="23" t="inlineStr">
        <is>
          <t>Predial</t>
        </is>
      </c>
    </row>
    <row r="31">
      <c r="A31" s="23" t="inlineStr">
        <is>
          <t>vidro</t>
        </is>
      </c>
      <c r="B31" s="23" t="inlineStr">
        <is>
          <t>Predial e estrutura</t>
        </is>
      </c>
      <c r="C31" s="23" t="inlineStr">
        <is>
          <t>Predial</t>
        </is>
      </c>
    </row>
    <row r="32">
      <c r="A32" s="23" t="inlineStr">
        <is>
          <t>telhado</t>
        </is>
      </c>
      <c r="B32" s="23" t="inlineStr">
        <is>
          <t>Predial e estrutura</t>
        </is>
      </c>
      <c r="C32" s="23" t="inlineStr">
        <is>
          <t>Predial</t>
        </is>
      </c>
    </row>
    <row r="33">
      <c r="A33" s="23" t="inlineStr">
        <is>
          <t>escada</t>
        </is>
      </c>
      <c r="B33" s="23" t="inlineStr">
        <is>
          <t>Predial e estrutura</t>
        </is>
      </c>
      <c r="C33" s="23" t="inlineStr">
        <is>
          <t>Predial</t>
        </is>
      </c>
    </row>
    <row r="34">
      <c r="A34" s="23" t="inlineStr">
        <is>
          <t>corrimão</t>
        </is>
      </c>
      <c r="B34" s="23" t="inlineStr">
        <is>
          <t>Predial e estrutura</t>
        </is>
      </c>
      <c r="C34" s="23" t="inlineStr">
        <is>
          <t>Predial</t>
        </is>
      </c>
    </row>
    <row r="35">
      <c r="A35" s="23" t="inlineStr">
        <is>
          <t>corrimao</t>
        </is>
      </c>
      <c r="B35" s="23" t="inlineStr">
        <is>
          <t>Predial e estrutura</t>
        </is>
      </c>
      <c r="C35" s="23" t="inlineStr">
        <is>
          <t>Predial</t>
        </is>
      </c>
    </row>
    <row r="36">
      <c r="A36" s="23" t="inlineStr">
        <is>
          <t>fachada</t>
        </is>
      </c>
      <c r="B36" s="23" t="inlineStr">
        <is>
          <t>Predial e estrutura</t>
        </is>
      </c>
      <c r="C36" s="23" t="inlineStr">
        <is>
          <t>Predial</t>
        </is>
      </c>
    </row>
    <row r="37">
      <c r="A37" s="23" t="inlineStr">
        <is>
          <t>toldo</t>
        </is>
      </c>
      <c r="B37" s="23" t="inlineStr">
        <is>
          <t>Predial e estrutura</t>
        </is>
      </c>
      <c r="C37" s="23" t="inlineStr">
        <is>
          <t>Predial</t>
        </is>
      </c>
    </row>
    <row r="38">
      <c r="A38" s="23" t="inlineStr">
        <is>
          <t>espelho</t>
        </is>
      </c>
      <c r="B38" s="23" t="inlineStr">
        <is>
          <t>Predial e estrutura</t>
        </is>
      </c>
      <c r="C38" s="23" t="inlineStr">
        <is>
          <t>Predial</t>
        </is>
      </c>
    </row>
    <row r="39">
      <c r="A39" s="23" t="inlineStr">
        <is>
          <t>rodapé</t>
        </is>
      </c>
      <c r="B39" s="23" t="inlineStr">
        <is>
          <t>Predial e estrutura</t>
        </is>
      </c>
      <c r="C39" s="23" t="inlineStr">
        <is>
          <t>Predial</t>
        </is>
      </c>
    </row>
    <row r="40">
      <c r="A40" s="23" t="inlineStr">
        <is>
          <t>rodape</t>
        </is>
      </c>
      <c r="B40" s="23" t="inlineStr">
        <is>
          <t>Predial e estrutura</t>
        </is>
      </c>
      <c r="C40" s="23" t="inlineStr">
        <is>
          <t>Predial</t>
        </is>
      </c>
    </row>
    <row r="41">
      <c r="A41" s="23" t="inlineStr">
        <is>
          <t>fechadura</t>
        </is>
      </c>
      <c r="B41" s="23" t="inlineStr">
        <is>
          <t>Predial e estrutura</t>
        </is>
      </c>
      <c r="C41" s="23" t="inlineStr">
        <is>
          <t>Predial</t>
        </is>
      </c>
    </row>
    <row r="42">
      <c r="A42" s="23" t="inlineStr">
        <is>
          <t>calha</t>
        </is>
      </c>
      <c r="B42" s="23" t="inlineStr">
        <is>
          <t>Predial e estrutura</t>
        </is>
      </c>
      <c r="C42" s="23" t="inlineStr">
        <is>
          <t>Predial</t>
        </is>
      </c>
    </row>
    <row r="43">
      <c r="A43" s="23" t="inlineStr">
        <is>
          <t>revestimento</t>
        </is>
      </c>
      <c r="B43" s="23" t="inlineStr">
        <is>
          <t>Predial e estrutura</t>
        </is>
      </c>
      <c r="C43" s="23" t="inlineStr">
        <is>
          <t>Predial</t>
        </is>
      </c>
    </row>
    <row r="44">
      <c r="A44" s="23" t="inlineStr">
        <is>
          <t>pintura</t>
        </is>
      </c>
      <c r="B44" s="23" t="inlineStr">
        <is>
          <t>Predial e estrutura</t>
        </is>
      </c>
      <c r="C44" s="23" t="inlineStr">
        <is>
          <t>Pintura</t>
        </is>
      </c>
    </row>
    <row r="45">
      <c r="A45" s="23" t="inlineStr">
        <is>
          <t>tomada</t>
        </is>
      </c>
      <c r="B45" s="23" t="inlineStr">
        <is>
          <t>Outro equipamento</t>
        </is>
      </c>
      <c r="C45" s="23" t="inlineStr">
        <is>
          <t>Elétrica</t>
        </is>
      </c>
    </row>
    <row r="46">
      <c r="A46" s="23" t="inlineStr">
        <is>
          <t>interruptor</t>
        </is>
      </c>
      <c r="B46" s="23" t="inlineStr">
        <is>
          <t>Outro equipamento</t>
        </is>
      </c>
      <c r="C46" s="23" t="inlineStr">
        <is>
          <t>Elétrica</t>
        </is>
      </c>
    </row>
    <row r="47">
      <c r="A47" s="23" t="inlineStr">
        <is>
          <t>lâmpada</t>
        </is>
      </c>
      <c r="B47" s="23" t="inlineStr">
        <is>
          <t>Outro equipamento</t>
        </is>
      </c>
      <c r="C47" s="23" t="inlineStr">
        <is>
          <t>Elétrica</t>
        </is>
      </c>
    </row>
    <row r="48">
      <c r="A48" s="23" t="inlineStr">
        <is>
          <t>lampada</t>
        </is>
      </c>
      <c r="B48" s="23" t="inlineStr">
        <is>
          <t>Outro equipamento</t>
        </is>
      </c>
      <c r="C48" s="23" t="inlineStr">
        <is>
          <t>Elétrica</t>
        </is>
      </c>
    </row>
    <row r="49">
      <c r="A49" s="23" t="inlineStr">
        <is>
          <t>iluminação</t>
        </is>
      </c>
      <c r="B49" s="23" t="inlineStr">
        <is>
          <t>Outro equipamento</t>
        </is>
      </c>
      <c r="C49" s="23" t="inlineStr">
        <is>
          <t>Elétrica</t>
        </is>
      </c>
    </row>
    <row r="50">
      <c r="A50" s="23" t="inlineStr">
        <is>
          <t>iluminacao</t>
        </is>
      </c>
      <c r="B50" s="23" t="inlineStr">
        <is>
          <t>Outro equipamento</t>
        </is>
      </c>
      <c r="C50" s="23" t="inlineStr">
        <is>
          <t>Elétrica</t>
        </is>
      </c>
    </row>
    <row r="51">
      <c r="A51" s="23" t="inlineStr">
        <is>
          <t>luminária</t>
        </is>
      </c>
      <c r="B51" s="23" t="inlineStr">
        <is>
          <t>Outro equipamento</t>
        </is>
      </c>
      <c r="C51" s="23" t="inlineStr">
        <is>
          <t>Elétrica</t>
        </is>
      </c>
    </row>
    <row r="52">
      <c r="A52" s="23" t="inlineStr">
        <is>
          <t>luminaria</t>
        </is>
      </c>
      <c r="B52" s="23" t="inlineStr">
        <is>
          <t>Outro equipamento</t>
        </is>
      </c>
      <c r="C52" s="23" t="inlineStr">
        <is>
          <t>Elétrica</t>
        </is>
      </c>
    </row>
    <row r="53">
      <c r="A53" s="23" t="inlineStr">
        <is>
          <t>refletor</t>
        </is>
      </c>
      <c r="B53" s="23" t="inlineStr">
        <is>
          <t>Outro equipamento</t>
        </is>
      </c>
      <c r="C53" s="23" t="inlineStr">
        <is>
          <t>Elétrica</t>
        </is>
      </c>
    </row>
    <row r="54">
      <c r="A54" s="23" t="inlineStr">
        <is>
          <t>spot</t>
        </is>
      </c>
      <c r="B54" s="23" t="inlineStr">
        <is>
          <t>Outro equipamento</t>
        </is>
      </c>
      <c r="C54" s="23" t="inlineStr">
        <is>
          <t>Elétrica</t>
        </is>
      </c>
    </row>
    <row r="55">
      <c r="A55" s="23" t="inlineStr">
        <is>
          <t>fiação</t>
        </is>
      </c>
      <c r="B55" s="23" t="inlineStr">
        <is>
          <t>Outro equipamento</t>
        </is>
      </c>
      <c r="C55" s="23" t="inlineStr">
        <is>
          <t>Elétrica</t>
        </is>
      </c>
    </row>
    <row r="56">
      <c r="A56" s="23" t="inlineStr">
        <is>
          <t>fiacao</t>
        </is>
      </c>
      <c r="B56" s="23" t="inlineStr">
        <is>
          <t>Outro equipamento</t>
        </is>
      </c>
      <c r="C56" s="23" t="inlineStr">
        <is>
          <t>Elétrica</t>
        </is>
      </c>
    </row>
    <row r="57">
      <c r="A57" s="23" t="inlineStr">
        <is>
          <t>disjuntor</t>
        </is>
      </c>
      <c r="B57" s="23" t="inlineStr">
        <is>
          <t>Outro equipamento</t>
        </is>
      </c>
      <c r="C57" s="23" t="inlineStr">
        <is>
          <t>Elétrica</t>
        </is>
      </c>
    </row>
    <row r="58">
      <c r="A58" s="23" t="inlineStr">
        <is>
          <t xml:space="preserve">luz </t>
        </is>
      </c>
      <c r="B58" s="23" t="inlineStr">
        <is>
          <t>Outro equipamento</t>
        </is>
      </c>
      <c r="C58" s="23" t="inlineStr">
        <is>
          <t>Elétrica</t>
        </is>
      </c>
    </row>
    <row r="59">
      <c r="A59" s="23" t="inlineStr">
        <is>
          <t>torneira</t>
        </is>
      </c>
      <c r="B59" s="23" t="inlineStr">
        <is>
          <t>Outro equipamento</t>
        </is>
      </c>
      <c r="C59" s="23" t="inlineStr">
        <is>
          <t>Hidráulica</t>
        </is>
      </c>
    </row>
    <row r="60">
      <c r="A60" s="23" t="inlineStr">
        <is>
          <t>pia</t>
        </is>
      </c>
      <c r="B60" s="23" t="inlineStr">
        <is>
          <t>Outro equipamento</t>
        </is>
      </c>
      <c r="C60" s="23" t="inlineStr">
        <is>
          <t>Hidráulica</t>
        </is>
      </c>
    </row>
    <row r="61">
      <c r="A61" s="23" t="inlineStr">
        <is>
          <t>cuba</t>
        </is>
      </c>
      <c r="B61" s="23" t="inlineStr">
        <is>
          <t>Outro equipamento</t>
        </is>
      </c>
      <c r="C61" s="23" t="inlineStr">
        <is>
          <t>Hidráulica</t>
        </is>
      </c>
    </row>
    <row r="62">
      <c r="A62" s="23" t="inlineStr">
        <is>
          <t>vaso</t>
        </is>
      </c>
      <c r="B62" s="23" t="inlineStr">
        <is>
          <t>Outro equipamento</t>
        </is>
      </c>
      <c r="C62" s="23" t="inlineStr">
        <is>
          <t>Hidráulica</t>
        </is>
      </c>
    </row>
    <row r="63">
      <c r="A63" s="23" t="inlineStr">
        <is>
          <t>descarga</t>
        </is>
      </c>
      <c r="B63" s="23" t="inlineStr">
        <is>
          <t>Outro equipamento</t>
        </is>
      </c>
      <c r="C63" s="23" t="inlineStr">
        <is>
          <t>Hidráulica</t>
        </is>
      </c>
    </row>
    <row r="64">
      <c r="A64" s="23" t="inlineStr">
        <is>
          <t>mictório</t>
        </is>
      </c>
      <c r="B64" s="23" t="inlineStr">
        <is>
          <t>Outro equipamento</t>
        </is>
      </c>
      <c r="C64" s="23" t="inlineStr">
        <is>
          <t>Hidráulica</t>
        </is>
      </c>
    </row>
    <row r="65">
      <c r="A65" s="23" t="inlineStr">
        <is>
          <t>mictorio</t>
        </is>
      </c>
      <c r="B65" s="23" t="inlineStr">
        <is>
          <t>Outro equipamento</t>
        </is>
      </c>
      <c r="C65" s="23" t="inlineStr">
        <is>
          <t>Hidráulica</t>
        </is>
      </c>
    </row>
    <row r="66">
      <c r="A66" s="23" t="inlineStr">
        <is>
          <t>ralo</t>
        </is>
      </c>
      <c r="B66" s="23" t="inlineStr">
        <is>
          <t>Outro equipamento</t>
        </is>
      </c>
      <c r="C66" s="23" t="inlineStr">
        <is>
          <t>Hidráulica</t>
        </is>
      </c>
    </row>
    <row r="67">
      <c r="A67" s="23" t="inlineStr">
        <is>
          <t>caixa de gordura</t>
        </is>
      </c>
      <c r="B67" s="23" t="inlineStr">
        <is>
          <t>Outro equipamento</t>
        </is>
      </c>
      <c r="C67" s="23" t="inlineStr">
        <is>
          <t>Hidráulica</t>
        </is>
      </c>
    </row>
    <row r="68">
      <c r="A68" s="23" t="inlineStr">
        <is>
          <t>caixa d'água</t>
        </is>
      </c>
      <c r="B68" s="23" t="inlineStr">
        <is>
          <t>Outro equipamento</t>
        </is>
      </c>
      <c r="C68" s="23" t="inlineStr">
        <is>
          <t>Hidráulica</t>
        </is>
      </c>
    </row>
    <row r="69">
      <c r="A69" s="23" t="inlineStr">
        <is>
          <t>caixa dagua</t>
        </is>
      </c>
      <c r="B69" s="23" t="inlineStr">
        <is>
          <t>Outro equipamento</t>
        </is>
      </c>
      <c r="C69" s="23" t="inlineStr">
        <is>
          <t>Hidráulica</t>
        </is>
      </c>
    </row>
    <row r="70">
      <c r="A70" s="23" t="inlineStr">
        <is>
          <t>bomba d'água</t>
        </is>
      </c>
      <c r="B70" s="23" t="inlineStr">
        <is>
          <t>Outro equipamento</t>
        </is>
      </c>
      <c r="C70" s="23" t="inlineStr">
        <is>
          <t>Hidráulica</t>
        </is>
      </c>
    </row>
    <row r="71">
      <c r="A71" s="23" t="inlineStr">
        <is>
          <t>bomba dagua</t>
        </is>
      </c>
      <c r="B71" s="23" t="inlineStr">
        <is>
          <t>Outro equipamento</t>
        </is>
      </c>
      <c r="C71" s="23" t="inlineStr">
        <is>
          <t>Hidráulica</t>
        </is>
      </c>
    </row>
    <row r="72">
      <c r="A72" s="23" t="inlineStr">
        <is>
          <t>aquecedor</t>
        </is>
      </c>
      <c r="B72" s="23" t="inlineStr">
        <is>
          <t>Outro equipamento</t>
        </is>
      </c>
      <c r="C72" s="23" t="inlineStr">
        <is>
          <t>Hidráulica</t>
        </is>
      </c>
    </row>
    <row r="73">
      <c r="A73" s="23" t="inlineStr">
        <is>
          <t>chuveiro</t>
        </is>
      </c>
      <c r="B73" s="23" t="inlineStr">
        <is>
          <t>Outro equipamento</t>
        </is>
      </c>
      <c r="C73" s="23" t="inlineStr">
        <is>
          <t>Hidráulica</t>
        </is>
      </c>
    </row>
    <row r="74">
      <c r="A74" s="23" t="inlineStr">
        <is>
          <t>filtro</t>
        </is>
      </c>
      <c r="B74" s="23" t="inlineStr">
        <is>
          <t>Outro equipamento</t>
        </is>
      </c>
      <c r="C74" s="23" t="inlineStr">
        <is>
          <t>Hidráulica</t>
        </is>
      </c>
    </row>
    <row r="75">
      <c r="A75" s="23" t="inlineStr">
        <is>
          <t>bebedouro</t>
        </is>
      </c>
      <c r="B75" s="23" t="inlineStr">
        <is>
          <t>Outro equipamento</t>
        </is>
      </c>
      <c r="C75" s="23" t="inlineStr">
        <is>
          <t>Hidráulica</t>
        </is>
      </c>
    </row>
    <row r="76">
      <c r="A76" s="23" t="inlineStr">
        <is>
          <t>registro</t>
        </is>
      </c>
      <c r="B76" s="23" t="inlineStr">
        <is>
          <t>Outro equipamento</t>
        </is>
      </c>
      <c r="C76" s="23" t="inlineStr">
        <is>
          <t>Hidráulica</t>
        </is>
      </c>
    </row>
    <row r="77">
      <c r="A77" s="23" t="inlineStr">
        <is>
          <t>sifão</t>
        </is>
      </c>
      <c r="B77" s="23" t="inlineStr">
        <is>
          <t>Outro equipamento</t>
        </is>
      </c>
      <c r="C77" s="23" t="inlineStr">
        <is>
          <t>Hidráulica</t>
        </is>
      </c>
    </row>
    <row r="78">
      <c r="A78" s="23" t="inlineStr">
        <is>
          <t>sifao</t>
        </is>
      </c>
      <c r="B78" s="23" t="inlineStr">
        <is>
          <t>Outro equipamento</t>
        </is>
      </c>
      <c r="C78" s="23" t="inlineStr">
        <is>
          <t>Hidráulica</t>
        </is>
      </c>
    </row>
    <row r="79">
      <c r="A79" s="23" t="inlineStr">
        <is>
          <t>tela</t>
        </is>
      </c>
      <c r="B79" s="23" t="inlineStr">
        <is>
          <t>TI e KDS</t>
        </is>
      </c>
      <c r="C79" s="23" t="inlineStr">
        <is>
          <t>TI e KDS</t>
        </is>
      </c>
    </row>
    <row r="80">
      <c r="A80" s="23" t="inlineStr">
        <is>
          <t>kds</t>
        </is>
      </c>
      <c r="B80" s="23" t="inlineStr">
        <is>
          <t>TI e KDS</t>
        </is>
      </c>
      <c r="C80" s="23" t="inlineStr">
        <is>
          <t>TI e KDS</t>
        </is>
      </c>
    </row>
    <row r="81">
      <c r="A81" s="23" t="inlineStr">
        <is>
          <t>impressora</t>
        </is>
      </c>
      <c r="B81" s="23" t="inlineStr">
        <is>
          <t>TI e KDS</t>
        </is>
      </c>
      <c r="C81" s="23" t="inlineStr">
        <is>
          <t>TI e KDS</t>
        </is>
      </c>
    </row>
    <row r="82">
      <c r="A82" s="23" t="inlineStr">
        <is>
          <t>computador</t>
        </is>
      </c>
      <c r="B82" s="23" t="inlineStr">
        <is>
          <t>TI e KDS</t>
        </is>
      </c>
      <c r="C82" s="23" t="inlineStr">
        <is>
          <t>TI e KDS</t>
        </is>
      </c>
    </row>
    <row r="83">
      <c r="A83" s="23" t="inlineStr">
        <is>
          <t>notebook</t>
        </is>
      </c>
      <c r="B83" s="23" t="inlineStr">
        <is>
          <t>TI e KDS</t>
        </is>
      </c>
      <c r="C83" s="23" t="inlineStr">
        <is>
          <t>TI e KDS</t>
        </is>
      </c>
    </row>
    <row r="84">
      <c r="A84" s="23" t="inlineStr">
        <is>
          <t>tablet</t>
        </is>
      </c>
      <c r="B84" s="23" t="inlineStr">
        <is>
          <t>TI e KDS</t>
        </is>
      </c>
      <c r="C84" s="23" t="inlineStr">
        <is>
          <t>TI e KDS</t>
        </is>
      </c>
    </row>
    <row r="85">
      <c r="A85" s="23" t="inlineStr">
        <is>
          <t>roteador</t>
        </is>
      </c>
      <c r="B85" s="23" t="inlineStr">
        <is>
          <t>TI e KDS</t>
        </is>
      </c>
      <c r="C85" s="23" t="inlineStr">
        <is>
          <t>TI e KDS</t>
        </is>
      </c>
    </row>
    <row r="86">
      <c r="A86" s="23" t="inlineStr">
        <is>
          <t>wi-fi</t>
        </is>
      </c>
      <c r="B86" s="23" t="inlineStr">
        <is>
          <t>TI e KDS</t>
        </is>
      </c>
      <c r="C86" s="23" t="inlineStr">
        <is>
          <t>TI e KDS</t>
        </is>
      </c>
    </row>
    <row r="87">
      <c r="A87" s="23" t="inlineStr">
        <is>
          <t>wifi</t>
        </is>
      </c>
      <c r="B87" s="23" t="inlineStr">
        <is>
          <t>TI e KDS</t>
        </is>
      </c>
      <c r="C87" s="23" t="inlineStr">
        <is>
          <t>TI e KDS</t>
        </is>
      </c>
    </row>
    <row r="88">
      <c r="A88" s="23" t="inlineStr">
        <is>
          <t>tv</t>
        </is>
      </c>
      <c r="B88" s="23" t="inlineStr">
        <is>
          <t>TI e KDS</t>
        </is>
      </c>
      <c r="C88" s="23" t="inlineStr">
        <is>
          <t>TI e KDS</t>
        </is>
      </c>
    </row>
    <row r="89">
      <c r="A89" s="23" t="inlineStr">
        <is>
          <t>televis</t>
        </is>
      </c>
      <c r="B89" s="23" t="inlineStr">
        <is>
          <t>TI e KDS</t>
        </is>
      </c>
      <c r="C89" s="23" t="inlineStr">
        <is>
          <t>TI e KDS</t>
        </is>
      </c>
    </row>
    <row r="90">
      <c r="A90" s="23" t="inlineStr">
        <is>
          <t>caixa de som</t>
        </is>
      </c>
      <c r="B90" s="23" t="inlineStr">
        <is>
          <t>TI e KDS</t>
        </is>
      </c>
      <c r="C90" s="23" t="inlineStr">
        <is>
          <t>TI e KDS</t>
        </is>
      </c>
    </row>
    <row r="91">
      <c r="A91" s="23" t="inlineStr">
        <is>
          <t>som ambiente</t>
        </is>
      </c>
      <c r="B91" s="23" t="inlineStr">
        <is>
          <t>TI e KDS</t>
        </is>
      </c>
      <c r="C91" s="23" t="inlineStr">
        <is>
          <t>TI e KDS</t>
        </is>
      </c>
    </row>
    <row r="92">
      <c r="A92" s="23" t="inlineStr">
        <is>
          <t>câmera</t>
        </is>
      </c>
      <c r="B92" s="23" t="inlineStr">
        <is>
          <t>TI e KDS</t>
        </is>
      </c>
      <c r="C92" s="23" t="inlineStr">
        <is>
          <t>TI e KDS</t>
        </is>
      </c>
    </row>
    <row r="93">
      <c r="A93" s="23" t="inlineStr">
        <is>
          <t>camera</t>
        </is>
      </c>
      <c r="B93" s="23" t="inlineStr">
        <is>
          <t>TI e KDS</t>
        </is>
      </c>
      <c r="C93" s="23" t="inlineStr">
        <is>
          <t>TI e KDS</t>
        </is>
      </c>
    </row>
    <row r="94">
      <c r="A94" s="23" t="inlineStr">
        <is>
          <t>cftv</t>
        </is>
      </c>
      <c r="B94" s="23" t="inlineStr">
        <is>
          <t>TI e KDS</t>
        </is>
      </c>
      <c r="C94" s="23" t="inlineStr">
        <is>
          <t>TI e KDS</t>
        </is>
      </c>
    </row>
    <row r="95">
      <c r="A95" s="23" t="inlineStr">
        <is>
          <t>pdv</t>
        </is>
      </c>
      <c r="B95" s="23" t="inlineStr">
        <is>
          <t>TI e KDS</t>
        </is>
      </c>
      <c r="C95" s="23" t="inlineStr">
        <is>
          <t>TI e KDS</t>
        </is>
      </c>
    </row>
    <row r="96">
      <c r="A96" s="23" t="inlineStr">
        <is>
          <t>balança</t>
        </is>
      </c>
      <c r="B96" s="23" t="inlineStr">
        <is>
          <t>TI e KDS</t>
        </is>
      </c>
      <c r="C96" s="23" t="inlineStr">
        <is>
          <t>TI e KDS</t>
        </is>
      </c>
    </row>
    <row r="97">
      <c r="A97" s="23" t="inlineStr">
        <is>
          <t>balanca</t>
        </is>
      </c>
      <c r="B97" s="23" t="inlineStr">
        <is>
          <t>TI e KDS</t>
        </is>
      </c>
      <c r="C97" s="23" t="inlineStr">
        <is>
          <t>TI e KDS</t>
        </is>
      </c>
    </row>
    <row r="98">
      <c r="A98" s="23" t="inlineStr">
        <is>
          <t>totem</t>
        </is>
      </c>
      <c r="B98" s="23" t="inlineStr">
        <is>
          <t>TI e KDS</t>
        </is>
      </c>
      <c r="C98" s="23" t="inlineStr">
        <is>
          <t>TI e KDS</t>
        </is>
      </c>
    </row>
    <row r="99">
      <c r="A99" s="23" t="inlineStr">
        <is>
          <t>monitor</t>
        </is>
      </c>
      <c r="B99" s="23" t="inlineStr">
        <is>
          <t>TI e KDS</t>
        </is>
      </c>
      <c r="C99" s="23" t="inlineStr">
        <is>
          <t>TI e KDS</t>
        </is>
      </c>
    </row>
    <row r="100">
      <c r="A100" s="23" t="inlineStr">
        <is>
          <t>micro-ondas</t>
        </is>
      </c>
      <c r="B100" s="23" t="inlineStr">
        <is>
          <t>Outro equipamento</t>
        </is>
      </c>
      <c r="C100" s="23" t="inlineStr">
        <is>
          <t>Equipamentos de cozinha</t>
        </is>
      </c>
    </row>
    <row r="101">
      <c r="A101" s="23" t="inlineStr">
        <is>
          <t>microondas</t>
        </is>
      </c>
      <c r="B101" s="23" t="inlineStr">
        <is>
          <t>Outro equipamento</t>
        </is>
      </c>
      <c r="C101" s="23" t="inlineStr">
        <is>
          <t>Equipamentos de cozinha</t>
        </is>
      </c>
    </row>
    <row r="102">
      <c r="A102" s="23" t="inlineStr">
        <is>
          <t>liquidificador</t>
        </is>
      </c>
      <c r="B102" s="23" t="inlineStr">
        <is>
          <t>Outro equipamento</t>
        </is>
      </c>
      <c r="C102" s="23" t="inlineStr">
        <is>
          <t>Equipamentos de cozinha</t>
        </is>
      </c>
    </row>
    <row r="103">
      <c r="A103" s="23" t="inlineStr">
        <is>
          <t>batedeira</t>
        </is>
      </c>
      <c r="B103" s="23" t="inlineStr">
        <is>
          <t>Outro equipamento</t>
        </is>
      </c>
      <c r="C103" s="23" t="inlineStr">
        <is>
          <t>Equipamentos de cozinha</t>
        </is>
      </c>
    </row>
    <row r="104">
      <c r="A104" s="23" t="inlineStr">
        <is>
          <t>processador</t>
        </is>
      </c>
      <c r="B104" s="23" t="inlineStr">
        <is>
          <t>Outro equipamento</t>
        </is>
      </c>
      <c r="C104" s="23" t="inlineStr">
        <is>
          <t>Equipamentos de cozinha</t>
        </is>
      </c>
    </row>
    <row r="105">
      <c r="A105" s="23" t="inlineStr">
        <is>
          <t>mixer</t>
        </is>
      </c>
      <c r="B105" s="23" t="inlineStr">
        <is>
          <t>Outro equipamento</t>
        </is>
      </c>
      <c r="C105" s="23" t="inlineStr">
        <is>
          <t>Equipamentos de cozinha</t>
        </is>
      </c>
    </row>
    <row r="106">
      <c r="A106" s="23" t="inlineStr">
        <is>
          <t>espremedor</t>
        </is>
      </c>
      <c r="B106" s="23" t="inlineStr">
        <is>
          <t>Outro equipamento</t>
        </is>
      </c>
      <c r="C106" s="23" t="inlineStr">
        <is>
          <t>Equipamentos de cozinha</t>
        </is>
      </c>
    </row>
    <row r="107">
      <c r="A107" s="23" t="inlineStr">
        <is>
          <t>cafeteira</t>
        </is>
      </c>
      <c r="B107" s="23" t="inlineStr">
        <is>
          <t>Outro equipamento</t>
        </is>
      </c>
      <c r="C107" s="23" t="inlineStr">
        <is>
          <t>Equipamentos de cozinha</t>
        </is>
      </c>
    </row>
    <row r="108">
      <c r="A108" s="23" t="inlineStr">
        <is>
          <t>máquina de café</t>
        </is>
      </c>
      <c r="B108" s="23" t="inlineStr">
        <is>
          <t>Outro equipamento</t>
        </is>
      </c>
      <c r="C108" s="23" t="inlineStr">
        <is>
          <t>Equipamentos de cozinha</t>
        </is>
      </c>
    </row>
    <row r="109">
      <c r="A109" s="23" t="inlineStr">
        <is>
          <t>maquina de cafe</t>
        </is>
      </c>
      <c r="B109" s="23" t="inlineStr">
        <is>
          <t>Outro equipamento</t>
        </is>
      </c>
      <c r="C109" s="23" t="inlineStr">
        <is>
          <t>Equipamentos de cozinha</t>
        </is>
      </c>
    </row>
    <row r="110">
      <c r="A110" s="23" t="inlineStr">
        <is>
          <t>seladora</t>
        </is>
      </c>
      <c r="B110" s="23" t="inlineStr">
        <is>
          <t>Outro equipamento</t>
        </is>
      </c>
      <c r="C110" s="23" t="inlineStr">
        <is>
          <t>Equipamentos de cozinha</t>
        </is>
      </c>
    </row>
    <row r="111">
      <c r="A111" s="23" t="inlineStr">
        <is>
          <t>fatiador</t>
        </is>
      </c>
      <c r="B111" s="23" t="inlineStr">
        <is>
          <t>Outro equipamento</t>
        </is>
      </c>
      <c r="C111" s="23" t="inlineStr">
        <is>
          <t>Equipamentos de cozinha</t>
        </is>
      </c>
    </row>
    <row r="112">
      <c r="A112" s="23" t="inlineStr">
        <is>
          <t>moedor</t>
        </is>
      </c>
      <c r="B112" s="23" t="inlineStr">
        <is>
          <t>Outro equipamento</t>
        </is>
      </c>
      <c r="C112" s="23" t="inlineStr">
        <is>
          <t>Equipamentos de cozinha</t>
        </is>
      </c>
    </row>
    <row r="113">
      <c r="A113" s="23" t="inlineStr">
        <is>
          <t>sanduicheira</t>
        </is>
      </c>
      <c r="B113" s="23" t="inlineStr">
        <is>
          <t>Outro equipamento</t>
        </is>
      </c>
      <c r="C113" s="23" t="inlineStr">
        <is>
          <t>Equipamentos de cozinha</t>
        </is>
      </c>
    </row>
    <row r="114">
      <c r="A114" s="23" t="inlineStr">
        <is>
          <t>grill</t>
        </is>
      </c>
      <c r="B114" s="23" t="inlineStr">
        <is>
          <t>Outro equipamento</t>
        </is>
      </c>
      <c r="C114" s="23" t="inlineStr">
        <is>
          <t>Equipamentos de cozinha</t>
        </is>
      </c>
    </row>
    <row r="115">
      <c r="A115" s="23" t="inlineStr">
        <is>
          <t>torradeira</t>
        </is>
      </c>
      <c r="B115" s="23" t="inlineStr">
        <is>
          <t>Outro equipamento</t>
        </is>
      </c>
      <c r="C115" s="23" t="inlineStr">
        <is>
          <t>Equipamentos de cozinha</t>
        </is>
      </c>
    </row>
    <row r="116">
      <c r="A116" s="23" t="inlineStr">
        <is>
          <t>panela</t>
        </is>
      </c>
      <c r="B116" s="23" t="inlineStr">
        <is>
          <t>Outro equipamento</t>
        </is>
      </c>
      <c r="C116" s="23" t="inlineStr">
        <is>
          <t>Equipamentos de cozinha</t>
        </is>
      </c>
    </row>
    <row r="117">
      <c r="A117" s="23" t="inlineStr">
        <is>
          <t>amassadeira</t>
        </is>
      </c>
      <c r="B117" s="23" t="inlineStr">
        <is>
          <t>Outro equipamento</t>
        </is>
      </c>
      <c r="C117" s="23" t="inlineStr">
        <is>
          <t>Equipamentos de cozinha</t>
        </is>
      </c>
    </row>
    <row r="118">
      <c r="A118" s="23" t="inlineStr">
        <is>
          <t>cilindro de massa</t>
        </is>
      </c>
      <c r="B118" s="23" t="inlineStr">
        <is>
          <t>Outro equipamento</t>
        </is>
      </c>
      <c r="C118" s="23" t="inlineStr">
        <is>
          <t>Equipamentos de cozinha</t>
        </is>
      </c>
    </row>
    <row r="119">
      <c r="A119" s="23" t="inlineStr">
        <is>
          <t>forno</t>
        </is>
      </c>
      <c r="B119" s="23" t="inlineStr">
        <is>
          <t>Outro equipamento</t>
        </is>
      </c>
      <c r="C119" s="23" t="inlineStr">
        <is>
          <t>Equipamentos de cozinha</t>
        </is>
      </c>
    </row>
    <row r="120">
      <c r="A120" s="23" t="inlineStr">
        <is>
          <t>dispenser</t>
        </is>
      </c>
      <c r="B120" s="23" t="inlineStr">
        <is>
          <t>Outro equipamento</t>
        </is>
      </c>
      <c r="C120" s="23" t="inlineStr">
        <is>
          <t>Limpeza</t>
        </is>
      </c>
    </row>
    <row r="121">
      <c r="A121" s="23" t="inlineStr">
        <is>
          <t>saboneteira</t>
        </is>
      </c>
      <c r="B121" s="23" t="inlineStr">
        <is>
          <t>Outro equipamento</t>
        </is>
      </c>
      <c r="C121" s="23" t="inlineStr">
        <is>
          <t>Limpeza</t>
        </is>
      </c>
    </row>
    <row r="122">
      <c r="A122" s="23" t="inlineStr">
        <is>
          <t>papeleira</t>
        </is>
      </c>
      <c r="B122" s="23" t="inlineStr">
        <is>
          <t>Outro equipamento</t>
        </is>
      </c>
      <c r="C122" s="23" t="inlineStr">
        <is>
          <t>Limpeza</t>
        </is>
      </c>
    </row>
    <row r="123">
      <c r="A123" s="23" t="inlineStr">
        <is>
          <t>secador de mão</t>
        </is>
      </c>
      <c r="B123" s="23" t="inlineStr">
        <is>
          <t>Outro equipamento</t>
        </is>
      </c>
      <c r="C123" s="23" t="inlineStr">
        <is>
          <t>Limpeza</t>
        </is>
      </c>
    </row>
    <row r="124">
      <c r="A124" s="23" t="inlineStr">
        <is>
          <t>secador de mao</t>
        </is>
      </c>
      <c r="B124" s="23" t="inlineStr">
        <is>
          <t>Outro equipamento</t>
        </is>
      </c>
      <c r="C124" s="23" t="inlineStr">
        <is>
          <t>Limpeza</t>
        </is>
      </c>
    </row>
    <row r="125">
      <c r="A125" s="23" t="inlineStr">
        <is>
          <t>ar-condicionado</t>
        </is>
      </c>
      <c r="B125" s="23" t="inlineStr">
        <is>
          <t>Ar-condicionado split (hi-wall)</t>
        </is>
      </c>
      <c r="C125" s="23" t="inlineStr">
        <is>
          <t>Climatização</t>
        </is>
      </c>
    </row>
    <row r="126">
      <c r="A126" s="23" t="inlineStr">
        <is>
          <t>ar condicionado</t>
        </is>
      </c>
      <c r="B126" s="23" t="inlineStr">
        <is>
          <t>Ar-condicionado split (hi-wall)</t>
        </is>
      </c>
      <c r="C126" s="23" t="inlineStr">
        <is>
          <t>Climatização</t>
        </is>
      </c>
    </row>
    <row r="127">
      <c r="A127" s="23" t="inlineStr">
        <is>
          <t>split</t>
        </is>
      </c>
      <c r="B127" s="23" t="inlineStr">
        <is>
          <t>Ar-condicionado split (hi-wall)</t>
        </is>
      </c>
      <c r="C127" s="23" t="inlineStr">
        <is>
          <t>Climatização</t>
        </is>
      </c>
    </row>
    <row r="128">
      <c r="A128" s="23" t="inlineStr">
        <is>
          <t>condensadora</t>
        </is>
      </c>
      <c r="B128" s="23" t="inlineStr">
        <is>
          <t>Ar-condicionado split (hi-wall)</t>
        </is>
      </c>
      <c r="C128" s="23" t="inlineStr">
        <is>
          <t>Climatização</t>
        </is>
      </c>
    </row>
    <row r="129">
      <c r="A129" s="23" t="inlineStr">
        <is>
          <t>evaporadora</t>
        </is>
      </c>
      <c r="B129" s="23" t="inlineStr">
        <is>
          <t>Ar-condicionado split (hi-wall)</t>
        </is>
      </c>
      <c r="C129" s="23" t="inlineStr">
        <is>
          <t>Climatização</t>
        </is>
      </c>
    </row>
    <row r="130">
      <c r="A130" s="23" t="inlineStr">
        <is>
          <t>cassete</t>
        </is>
      </c>
      <c r="B130" s="23" t="inlineStr">
        <is>
          <t>Ar-condicionado split cassete</t>
        </is>
      </c>
      <c r="C130" s="23" t="inlineStr">
        <is>
          <t>Climatização</t>
        </is>
      </c>
    </row>
    <row r="131">
      <c r="A131" s="23" t="inlineStr">
        <is>
          <t>cassette</t>
        </is>
      </c>
      <c r="B131" s="23" t="inlineStr">
        <is>
          <t>Ar-condicionado split cassete</t>
        </is>
      </c>
      <c r="C131" s="23" t="inlineStr">
        <is>
          <t>Climatização</t>
        </is>
      </c>
    </row>
    <row r="132">
      <c r="A132" s="23" t="inlineStr">
        <is>
          <t>ventilador</t>
        </is>
      </c>
      <c r="B132" s="23" t="inlineStr">
        <is>
          <t>Ventilador (parede ou coluna)</t>
        </is>
      </c>
      <c r="C132" s="23" t="inlineStr">
        <is>
          <t>Climatização</t>
        </is>
      </c>
    </row>
    <row r="133">
      <c r="A133" s="23" t="inlineStr">
        <is>
          <t>insuflamento</t>
        </is>
      </c>
      <c r="B133" s="23" t="inlineStr">
        <is>
          <t>Caixa de ventilação (insuflamento)</t>
        </is>
      </c>
      <c r="C133" s="23" t="inlineStr">
        <is>
          <t>Climatização</t>
        </is>
      </c>
    </row>
    <row r="134">
      <c r="A134" s="23" t="inlineStr">
        <is>
          <t>caixa de ventilação</t>
        </is>
      </c>
      <c r="B134" s="23" t="inlineStr">
        <is>
          <t>Caixa de ventilação (insuflamento)</t>
        </is>
      </c>
      <c r="C134" s="23" t="inlineStr">
        <is>
          <t>Climatização</t>
        </is>
      </c>
    </row>
    <row r="135">
      <c r="A135" s="23" t="inlineStr">
        <is>
          <t>caixa de ventilacao</t>
        </is>
      </c>
      <c r="B135" s="23" t="inlineStr">
        <is>
          <t>Caixa de ventilação (insuflamento)</t>
        </is>
      </c>
      <c r="C135" s="23" t="inlineStr">
        <is>
          <t>Climatização</t>
        </is>
      </c>
    </row>
    <row r="136">
      <c r="A136" s="23" t="inlineStr">
        <is>
          <t>geladeira</t>
        </is>
      </c>
      <c r="B136" s="23" t="inlineStr">
        <is>
          <t>Balcão refrigerado</t>
        </is>
      </c>
      <c r="C136" s="23" t="inlineStr">
        <is>
          <t>Refrigeração</t>
        </is>
      </c>
    </row>
    <row r="137">
      <c r="A137" s="23" t="inlineStr">
        <is>
          <t>refrigerador</t>
        </is>
      </c>
      <c r="B137" s="23" t="inlineStr">
        <is>
          <t>Balcão refrigerado</t>
        </is>
      </c>
      <c r="C137" s="23" t="inlineStr">
        <is>
          <t>Refrigeração</t>
        </is>
      </c>
    </row>
    <row r="138">
      <c r="A138" s="23" t="inlineStr">
        <is>
          <t>freezer</t>
        </is>
      </c>
      <c r="B138" s="23" t="inlineStr">
        <is>
          <t>Balcão refrigerado</t>
        </is>
      </c>
      <c r="C138" s="23" t="inlineStr">
        <is>
          <t>Refrigeração</t>
        </is>
      </c>
    </row>
    <row r="139">
      <c r="A139" s="23" t="inlineStr">
        <is>
          <t>frigobar</t>
        </is>
      </c>
      <c r="B139" s="23" t="inlineStr">
        <is>
          <t>Balcão refrigerado</t>
        </is>
      </c>
      <c r="C139" s="23" t="inlineStr">
        <is>
          <t>Refrigeração</t>
        </is>
      </c>
    </row>
    <row r="140">
      <c r="A140" s="23" t="inlineStr">
        <is>
          <t>expositor</t>
        </is>
      </c>
      <c r="B140" s="23" t="inlineStr">
        <is>
          <t>Balcão refrigerado</t>
        </is>
      </c>
      <c r="C140" s="23" t="inlineStr">
        <is>
          <t>Refrigeração</t>
        </is>
      </c>
    </row>
    <row r="141">
      <c r="A141" s="23" t="inlineStr">
        <is>
          <t>cervejeira</t>
        </is>
      </c>
      <c r="B141" s="23" t="inlineStr">
        <is>
          <t>Balcão refrigerado</t>
        </is>
      </c>
      <c r="C141" s="23" t="inlineStr">
        <is>
          <t>Refrigeração</t>
        </is>
      </c>
    </row>
    <row r="142">
      <c r="A142" s="23" t="inlineStr">
        <is>
          <t>refrigerado</t>
        </is>
      </c>
      <c r="B142" s="23" t="inlineStr">
        <is>
          <t>Balcão refrigerado</t>
        </is>
      </c>
      <c r="C142" s="23" t="inlineStr">
        <is>
          <t>Refrigeração</t>
        </is>
      </c>
    </row>
    <row r="143">
      <c r="A143" s="23" t="inlineStr">
        <is>
          <t>refrigerada</t>
        </is>
      </c>
      <c r="B143" s="23" t="inlineStr">
        <is>
          <t>Balcão refrigerado</t>
        </is>
      </c>
      <c r="C143" s="23" t="inlineStr">
        <is>
          <t>Refrigeração</t>
        </is>
      </c>
    </row>
    <row r="144">
      <c r="A144" s="23" t="inlineStr">
        <is>
          <t>pass through</t>
        </is>
      </c>
      <c r="B144" s="23" t="inlineStr">
        <is>
          <t>Balcão refrigerado</t>
        </is>
      </c>
      <c r="C144" s="23" t="inlineStr">
        <is>
          <t>Refrigeração</t>
        </is>
      </c>
    </row>
    <row r="145">
      <c r="A145" s="23" t="inlineStr">
        <is>
          <t>pass-through</t>
        </is>
      </c>
      <c r="B145" s="23" t="inlineStr">
        <is>
          <t>Balcão refrigerado</t>
        </is>
      </c>
      <c r="C145" s="23" t="inlineStr">
        <is>
          <t>Refrigeração</t>
        </is>
      </c>
    </row>
    <row r="146">
      <c r="A146" s="23" t="inlineStr">
        <is>
          <t>vitrine fria</t>
        </is>
      </c>
      <c r="B146" s="23" t="inlineStr">
        <is>
          <t>Balcão refrigerado</t>
        </is>
      </c>
      <c r="C146" s="23" t="inlineStr">
        <is>
          <t>Refrigeração</t>
        </is>
      </c>
    </row>
    <row r="147">
      <c r="A147" s="23" t="inlineStr">
        <is>
          <t>ultracongelador</t>
        </is>
      </c>
      <c r="B147" s="23" t="inlineStr">
        <is>
          <t>Balcão refrigerado</t>
        </is>
      </c>
      <c r="C147" s="23" t="inlineStr">
        <is>
          <t>Refrigeração</t>
        </is>
      </c>
    </row>
    <row r="148">
      <c r="A148" s="23" t="inlineStr">
        <is>
          <t>resfriador</t>
        </is>
      </c>
      <c r="B148" s="23" t="inlineStr">
        <is>
          <t>Balcão refrigerado</t>
        </is>
      </c>
      <c r="C148" s="23" t="inlineStr">
        <is>
          <t>Refrigeração</t>
        </is>
      </c>
    </row>
    <row r="149">
      <c r="A149" s="23" t="inlineStr">
        <is>
          <t>chopeira</t>
        </is>
      </c>
      <c r="B149" s="23" t="inlineStr">
        <is>
          <t>Balcão refrigerado</t>
        </is>
      </c>
      <c r="C149" s="23" t="inlineStr">
        <is>
          <t>Refrigeração</t>
        </is>
      </c>
    </row>
    <row r="150">
      <c r="A150" s="23" t="inlineStr">
        <is>
          <t>choppeira</t>
        </is>
      </c>
      <c r="B150" s="23" t="inlineStr">
        <is>
          <t>Balcão refrigerado</t>
        </is>
      </c>
      <c r="C150" s="23" t="inlineStr">
        <is>
          <t>Refrigeração</t>
        </is>
      </c>
    </row>
    <row r="151">
      <c r="A151" s="23" t="inlineStr">
        <is>
          <t>câmara</t>
        </is>
      </c>
      <c r="B151" s="23" t="inlineStr">
        <is>
          <t>Câmara frigorífica</t>
        </is>
      </c>
      <c r="C151" s="23" t="inlineStr">
        <is>
          <t>Refrigeração</t>
        </is>
      </c>
    </row>
    <row r="152">
      <c r="A152" s="23" t="inlineStr">
        <is>
          <t>camara</t>
        </is>
      </c>
      <c r="B152" s="23" t="inlineStr">
        <is>
          <t>Câmara frigorífica</t>
        </is>
      </c>
      <c r="C152" s="23" t="inlineStr">
        <is>
          <t>Refrigeração</t>
        </is>
      </c>
    </row>
    <row r="153">
      <c r="A153" s="23" t="inlineStr">
        <is>
          <t>banho-maria</t>
        </is>
      </c>
      <c r="B153" s="23" t="inlineStr">
        <is>
          <t>Banho-maria</t>
        </is>
      </c>
      <c r="C153" s="23" t="inlineStr">
        <is>
          <t>Equipamentos de cozinha</t>
        </is>
      </c>
    </row>
    <row r="154">
      <c r="A154" s="23" t="inlineStr">
        <is>
          <t>banho maria</t>
        </is>
      </c>
      <c r="B154" s="23" t="inlineStr">
        <is>
          <t>Banho-maria</t>
        </is>
      </c>
      <c r="C154" s="23" t="inlineStr">
        <is>
          <t>Equipamentos de cozinha</t>
        </is>
      </c>
    </row>
    <row r="155">
      <c r="A155" s="23" t="inlineStr">
        <is>
          <t>chapa</t>
        </is>
      </c>
      <c r="B155" s="23" t="inlineStr">
        <is>
          <t>Chapa</t>
        </is>
      </c>
      <c r="C155" s="23" t="inlineStr">
        <is>
          <t>Equipamentos de cozinha</t>
        </is>
      </c>
    </row>
    <row r="156">
      <c r="A156" s="23" t="inlineStr">
        <is>
          <t>fogão</t>
        </is>
      </c>
      <c r="B156" s="23" t="inlineStr">
        <is>
          <t>Fogão</t>
        </is>
      </c>
      <c r="C156" s="23" t="inlineStr">
        <is>
          <t>Equipamentos de cozinha</t>
        </is>
      </c>
    </row>
    <row r="157">
      <c r="A157" s="23" t="inlineStr">
        <is>
          <t>fogao</t>
        </is>
      </c>
      <c r="B157" s="23" t="inlineStr">
        <is>
          <t>Fogão</t>
        </is>
      </c>
      <c r="C157" s="23" t="inlineStr">
        <is>
          <t>Equipamentos de cozinha</t>
        </is>
      </c>
    </row>
    <row r="158">
      <c r="A158" s="23" t="inlineStr">
        <is>
          <t>boca</t>
        </is>
      </c>
      <c r="B158" s="23" t="inlineStr">
        <is>
          <t>Fogão</t>
        </is>
      </c>
      <c r="C158" s="23" t="inlineStr">
        <is>
          <t>Equipamentos de cozinha</t>
        </is>
      </c>
    </row>
    <row r="159">
      <c r="A159" s="23" t="inlineStr">
        <is>
          <t>queimador</t>
        </is>
      </c>
      <c r="B159" s="23" t="inlineStr">
        <is>
          <t>Fogão</t>
        </is>
      </c>
      <c r="C159" s="23" t="inlineStr">
        <is>
          <t>Equipamentos de cozinha</t>
        </is>
      </c>
    </row>
    <row r="160">
      <c r="A160" s="23" t="inlineStr">
        <is>
          <t>fritadeira</t>
        </is>
      </c>
      <c r="B160" s="23" t="inlineStr">
        <is>
          <t>Fritadeira a gás</t>
        </is>
      </c>
      <c r="C160" s="23" t="inlineStr">
        <is>
          <t>Equipamentos de cozinha</t>
        </is>
      </c>
    </row>
    <row r="161">
      <c r="A161" s="23" t="inlineStr">
        <is>
          <t>fritador</t>
        </is>
      </c>
      <c r="B161" s="23" t="inlineStr">
        <is>
          <t>Fritadeira a gás</t>
        </is>
      </c>
      <c r="C161" s="23" t="inlineStr">
        <is>
          <t>Equipamentos de cozinha</t>
        </is>
      </c>
    </row>
    <row r="162">
      <c r="A162" s="23" t="inlineStr">
        <is>
          <t>fritadeira elétrica</t>
        </is>
      </c>
      <c r="B162" s="23" t="inlineStr">
        <is>
          <t>Fritadeira elétrica (churros e sushi)</t>
        </is>
      </c>
      <c r="C162" s="23" t="inlineStr">
        <is>
          <t>Equipamentos de cozinha</t>
        </is>
      </c>
    </row>
    <row r="163">
      <c r="A163" s="23" t="inlineStr">
        <is>
          <t>fritadeira eletrica</t>
        </is>
      </c>
      <c r="B163" s="23" t="inlineStr">
        <is>
          <t>Fritadeira elétrica (churros e sushi)</t>
        </is>
      </c>
      <c r="C163" s="23" t="inlineStr">
        <is>
          <t>Equipamentos de cozinha</t>
        </is>
      </c>
    </row>
    <row r="164">
      <c r="A164" s="23" t="inlineStr">
        <is>
          <t>churro</t>
        </is>
      </c>
      <c r="B164" s="23" t="inlineStr">
        <is>
          <t>Fritadeira elétrica (churros e sushi)</t>
        </is>
      </c>
      <c r="C164" s="23" t="inlineStr">
        <is>
          <t>Equipamentos de cozinha</t>
        </is>
      </c>
    </row>
    <row r="165">
      <c r="A165" s="23" t="inlineStr">
        <is>
          <t>sushi</t>
        </is>
      </c>
      <c r="B165" s="23" t="inlineStr">
        <is>
          <t>Fritadeira elétrica (churros e sushi)</t>
        </is>
      </c>
      <c r="C165" s="23" t="inlineStr">
        <is>
          <t>Equipamentos de cozinha</t>
        </is>
      </c>
    </row>
    <row r="166">
      <c r="A166" s="23" t="inlineStr">
        <is>
          <t>batata palha</t>
        </is>
      </c>
      <c r="B166" s="23" t="inlineStr">
        <is>
          <t>Fritadeira de batata palha</t>
        </is>
      </c>
      <c r="C166" s="23" t="inlineStr">
        <is>
          <t>Equipamentos de cozinha</t>
        </is>
      </c>
    </row>
    <row r="167">
      <c r="A167" s="23" t="inlineStr">
        <is>
          <t>salamandra</t>
        </is>
      </c>
      <c r="B167" s="23" t="inlineStr">
        <is>
          <t>Salamandra</t>
        </is>
      </c>
      <c r="C167" s="23" t="inlineStr">
        <is>
          <t>Equipamentos de cozinha</t>
        </is>
      </c>
    </row>
    <row r="168">
      <c r="A168" s="23" t="inlineStr">
        <is>
          <t>mantenedor</t>
        </is>
      </c>
      <c r="B168" s="23" t="inlineStr">
        <is>
          <t>Mantenedor de batata</t>
        </is>
      </c>
      <c r="C168" s="23" t="inlineStr">
        <is>
          <t>Equipamentos de cozinha</t>
        </is>
      </c>
    </row>
    <row r="169">
      <c r="A169" s="23" t="inlineStr">
        <is>
          <t>rational</t>
        </is>
      </c>
      <c r="B169" s="23" t="inlineStr">
        <is>
          <t>Forno combinado Rational</t>
        </is>
      </c>
      <c r="C169" s="23" t="inlineStr">
        <is>
          <t>Equipamentos de cozinha</t>
        </is>
      </c>
    </row>
    <row r="170">
      <c r="A170" s="23" t="inlineStr">
        <is>
          <t>combinado</t>
        </is>
      </c>
      <c r="B170" s="23" t="inlineStr">
        <is>
          <t>Forno combinado Rational</t>
        </is>
      </c>
      <c r="C170" s="23" t="inlineStr">
        <is>
          <t>Equipamentos de cozinha</t>
        </is>
      </c>
    </row>
    <row r="171">
      <c r="A171" s="23" t="inlineStr">
        <is>
          <t>unox</t>
        </is>
      </c>
      <c r="B171" s="23" t="inlineStr">
        <is>
          <t>Forno combinado Unox</t>
        </is>
      </c>
      <c r="C171" s="23" t="inlineStr">
        <is>
          <t>Equipamentos de cozinha</t>
        </is>
      </c>
    </row>
    <row r="172">
      <c r="A172" s="23" t="inlineStr">
        <is>
          <t>copa express</t>
        </is>
      </c>
      <c r="B172" s="23" t="inlineStr">
        <is>
          <t>Forno Copa Express</t>
        </is>
      </c>
      <c r="C172" s="23" t="inlineStr">
        <is>
          <t>Equipamentos de cozinha</t>
        </is>
      </c>
    </row>
    <row r="173">
      <c r="A173" s="23" t="inlineStr">
        <is>
          <t>miniconv</t>
        </is>
      </c>
      <c r="B173" s="23" t="inlineStr">
        <is>
          <t>Forno Miniconv</t>
        </is>
      </c>
      <c r="C173" s="23" t="inlineStr">
        <is>
          <t>Equipamentos de cozinha</t>
        </is>
      </c>
    </row>
    <row r="174">
      <c r="A174" s="23" t="inlineStr">
        <is>
          <t>coifa</t>
        </is>
      </c>
      <c r="B174" s="23" t="inlineStr">
        <is>
          <t>Coifa convencional</t>
        </is>
      </c>
      <c r="C174" s="23" t="inlineStr">
        <is>
          <t>Exaustão</t>
        </is>
      </c>
    </row>
    <row r="175">
      <c r="A175" s="23" t="inlineStr">
        <is>
          <t>coifa lavadora</t>
        </is>
      </c>
      <c r="B175" s="23" t="inlineStr">
        <is>
          <t>Coifa lavadora</t>
        </is>
      </c>
      <c r="C175" s="23" t="inlineStr">
        <is>
          <t>Exaustão</t>
        </is>
      </c>
    </row>
    <row r="176">
      <c r="A176" s="23" t="inlineStr">
        <is>
          <t>duto</t>
        </is>
      </c>
      <c r="B176" s="23" t="inlineStr">
        <is>
          <t>Duto de exaustão</t>
        </is>
      </c>
      <c r="C176" s="23" t="inlineStr">
        <is>
          <t>Exaustão</t>
        </is>
      </c>
    </row>
    <row r="177">
      <c r="A177" s="23" t="inlineStr">
        <is>
          <t>exaustor</t>
        </is>
      </c>
      <c r="B177" s="23" t="inlineStr">
        <is>
          <t>Exaustor</t>
        </is>
      </c>
      <c r="C177" s="23" t="inlineStr">
        <is>
          <t>Exaustão</t>
        </is>
      </c>
    </row>
    <row r="178">
      <c r="A178" s="23" t="inlineStr">
        <is>
          <t>máquina de gelo</t>
        </is>
      </c>
      <c r="B178" s="23" t="inlineStr">
        <is>
          <t>Máquina de gelo</t>
        </is>
      </c>
      <c r="C178" s="23" t="inlineStr">
        <is>
          <t>Equipamentos de cozinha</t>
        </is>
      </c>
    </row>
    <row r="179">
      <c r="A179" s="23" t="inlineStr">
        <is>
          <t>maquina de gelo</t>
        </is>
      </c>
      <c r="B179" s="23" t="inlineStr">
        <is>
          <t>Máquina de gelo</t>
        </is>
      </c>
      <c r="C179" s="23" t="inlineStr">
        <is>
          <t>Equipamentos de cozinha</t>
        </is>
      </c>
    </row>
    <row r="180">
      <c r="A180" s="23" t="inlineStr">
        <is>
          <t>gelo</t>
        </is>
      </c>
      <c r="B180" s="23" t="inlineStr">
        <is>
          <t>Máquina de gelo</t>
        </is>
      </c>
      <c r="C180" s="23" t="inlineStr">
        <is>
          <t>Equipamentos de cozinha</t>
        </is>
      </c>
    </row>
    <row r="181">
      <c r="A181" s="23" t="inlineStr">
        <is>
          <t>lava copos</t>
        </is>
      </c>
      <c r="B181" s="23" t="inlineStr">
        <is>
          <t>Máquina de lavar copos</t>
        </is>
      </c>
      <c r="C181" s="23" t="inlineStr">
        <is>
          <t>Equipamentos de cozinha</t>
        </is>
      </c>
    </row>
    <row r="182">
      <c r="A182" s="23" t="inlineStr">
        <is>
          <t>lava-copos</t>
        </is>
      </c>
      <c r="B182" s="23" t="inlineStr">
        <is>
          <t>Máquina de lavar copos</t>
        </is>
      </c>
      <c r="C182" s="23" t="inlineStr">
        <is>
          <t>Equipamentos de cozinha</t>
        </is>
      </c>
    </row>
    <row r="183">
      <c r="A183" s="23" t="inlineStr">
        <is>
          <t>lavar copos</t>
        </is>
      </c>
      <c r="B183" s="23" t="inlineStr">
        <is>
          <t>Máquina de lavar copos</t>
        </is>
      </c>
      <c r="C183" s="23" t="inlineStr">
        <is>
          <t>Equipamentos de cozinha</t>
        </is>
      </c>
    </row>
    <row r="184">
      <c r="A184" s="23" t="inlineStr">
        <is>
          <t>lavadora de copos</t>
        </is>
      </c>
      <c r="B184" s="23" t="inlineStr">
        <is>
          <t>Máquina de lavar copos</t>
        </is>
      </c>
      <c r="C184" s="23" t="inlineStr">
        <is>
          <t>Equipamentos de cozinha</t>
        </is>
      </c>
    </row>
    <row r="185">
      <c r="A185" s="23" t="inlineStr">
        <is>
          <t>lava louça</t>
        </is>
      </c>
      <c r="B185" s="23" t="inlineStr">
        <is>
          <t>Máquina de lavar pratos</t>
        </is>
      </c>
      <c r="C185" s="23" t="inlineStr">
        <is>
          <t>Equipamentos de cozinha</t>
        </is>
      </c>
    </row>
    <row r="186">
      <c r="A186" s="23" t="inlineStr">
        <is>
          <t>lava-louça</t>
        </is>
      </c>
      <c r="B186" s="23" t="inlineStr">
        <is>
          <t>Máquina de lavar pratos</t>
        </is>
      </c>
      <c r="C186" s="23" t="inlineStr">
        <is>
          <t>Equipamentos de cozinha</t>
        </is>
      </c>
    </row>
    <row r="187">
      <c r="A187" s="23" t="inlineStr">
        <is>
          <t>lava louca</t>
        </is>
      </c>
      <c r="B187" s="23" t="inlineStr">
        <is>
          <t>Máquina de lavar pratos</t>
        </is>
      </c>
      <c r="C187" s="23" t="inlineStr">
        <is>
          <t>Equipamentos de cozinha</t>
        </is>
      </c>
    </row>
    <row r="188">
      <c r="A188" s="23" t="inlineStr">
        <is>
          <t>lava-louca</t>
        </is>
      </c>
      <c r="B188" s="23" t="inlineStr">
        <is>
          <t>Máquina de lavar pratos</t>
        </is>
      </c>
      <c r="C188" s="23" t="inlineStr">
        <is>
          <t>Equipamentos de cozinha</t>
        </is>
      </c>
    </row>
    <row r="189">
      <c r="A189" s="23" t="inlineStr">
        <is>
          <t>lava louças</t>
        </is>
      </c>
      <c r="B189" s="23" t="inlineStr">
        <is>
          <t>Máquina de lavar pratos</t>
        </is>
      </c>
      <c r="C189" s="23" t="inlineStr">
        <is>
          <t>Equipamentos de cozinha</t>
        </is>
      </c>
    </row>
    <row r="190">
      <c r="A190" s="23" t="inlineStr">
        <is>
          <t>lava pratos</t>
        </is>
      </c>
      <c r="B190" s="23" t="inlineStr">
        <is>
          <t>Máquina de lavar pratos</t>
        </is>
      </c>
      <c r="C190" s="23" t="inlineStr">
        <is>
          <t>Equipamentos de cozinha</t>
        </is>
      </c>
    </row>
    <row r="191">
      <c r="A191" s="23" t="inlineStr">
        <is>
          <t>lavar pratos</t>
        </is>
      </c>
      <c r="B191" s="23" t="inlineStr">
        <is>
          <t>Máquina de lavar pratos</t>
        </is>
      </c>
      <c r="C191" s="23" t="inlineStr">
        <is>
          <t>Equipamentos de cozinha</t>
        </is>
      </c>
    </row>
    <row r="192">
      <c r="A192" s="23" t="inlineStr">
        <is>
          <t>lavadora de pratos</t>
        </is>
      </c>
      <c r="B192" s="23" t="inlineStr">
        <is>
          <t>Máquina de lavar pratos</t>
        </is>
      </c>
      <c r="C192" s="23" t="inlineStr">
        <is>
          <t>Equipamentos de cozinha</t>
        </is>
      </c>
    </row>
    <row r="193">
      <c r="A193" s="23" t="inlineStr">
        <is>
          <t>lava-louças</t>
        </is>
      </c>
      <c r="B193" s="23" t="inlineStr">
        <is>
          <t>Máquina de lavar pratos</t>
        </is>
      </c>
      <c r="C193" s="23" t="inlineStr">
        <is>
          <t>Equipamentos de cozinha</t>
        </is>
      </c>
    </row>
    <row r="194">
      <c r="A194" s="23" t="inlineStr">
        <is>
          <t>rede de gás</t>
        </is>
      </c>
      <c r="B194" s="23" t="inlineStr">
        <is>
          <t>Rede de gás</t>
        </is>
      </c>
      <c r="C194" s="23" t="inlineStr">
        <is>
          <t>Segurança</t>
        </is>
      </c>
    </row>
    <row r="195">
      <c r="A195" s="23" t="inlineStr">
        <is>
          <t>rede de gas</t>
        </is>
      </c>
      <c r="B195" s="23" t="inlineStr">
        <is>
          <t>Rede de gás</t>
        </is>
      </c>
      <c r="C195" s="23" t="inlineStr">
        <is>
          <t>Segurança</t>
        </is>
      </c>
    </row>
    <row r="196">
      <c r="A196" s="23" t="inlineStr">
        <is>
          <t>central de gás</t>
        </is>
      </c>
      <c r="B196" s="23" t="inlineStr">
        <is>
          <t>Rede de gás</t>
        </is>
      </c>
      <c r="C196" s="23" t="inlineStr">
        <is>
          <t>Segurança</t>
        </is>
      </c>
    </row>
    <row r="197">
      <c r="A197" s="23" t="inlineStr">
        <is>
          <t>central de gas</t>
        </is>
      </c>
      <c r="B197" s="23" t="inlineStr">
        <is>
          <t>Rede de gás</t>
        </is>
      </c>
      <c r="C197" s="23" t="inlineStr">
        <is>
          <t>Segurança</t>
        </is>
      </c>
    </row>
    <row r="198">
      <c r="A198" s="23" t="inlineStr">
        <is>
          <t>glp</t>
        </is>
      </c>
      <c r="B198" s="23" t="inlineStr">
        <is>
          <t>Rede de gás</t>
        </is>
      </c>
      <c r="C198" s="23" t="inlineStr">
        <is>
          <t>Segurança</t>
        </is>
      </c>
    </row>
    <row r="199">
      <c r="A199" s="23" t="inlineStr">
        <is>
          <t>tubulação de gás</t>
        </is>
      </c>
      <c r="B199" s="23" t="inlineStr">
        <is>
          <t>Tubulação de gás</t>
        </is>
      </c>
      <c r="C199" s="23" t="inlineStr">
        <is>
          <t>Segurança</t>
        </is>
      </c>
    </row>
    <row r="200">
      <c r="A200" s="23" t="inlineStr">
        <is>
          <t>tubulacao de gas</t>
        </is>
      </c>
      <c r="B200" s="23" t="inlineStr">
        <is>
          <t>Tubulação de gás</t>
        </is>
      </c>
      <c r="C200" s="23" t="inlineStr">
        <is>
          <t>Segurança</t>
        </is>
      </c>
    </row>
    <row r="201">
      <c r="A201" s="23" t="inlineStr">
        <is>
          <t>tubulação do gás</t>
        </is>
      </c>
      <c r="B201" s="23" t="inlineStr">
        <is>
          <t>Tubulação de gás</t>
        </is>
      </c>
      <c r="C201" s="23" t="inlineStr">
        <is>
          <t>Segurança</t>
        </is>
      </c>
    </row>
    <row r="202">
      <c r="A202" s="23" t="inlineStr">
        <is>
          <t>tubulacao do gas</t>
        </is>
      </c>
      <c r="B202" s="23" t="inlineStr">
        <is>
          <t>Tubulação de gás</t>
        </is>
      </c>
      <c r="C202" s="23" t="inlineStr">
        <is>
          <t>Segurança</t>
        </is>
      </c>
    </row>
    <row r="203">
      <c r="A203" s="23" t="inlineStr">
        <is>
          <t>extintor</t>
        </is>
      </c>
      <c r="B203" s="23" t="inlineStr">
        <is>
          <t>Extintor</t>
        </is>
      </c>
      <c r="C203" s="23" t="inlineStr">
        <is>
          <t>Segurança</t>
        </is>
      </c>
    </row>
    <row r="204">
      <c r="A204" s="23" t="inlineStr">
        <is>
          <t>co2 dos dutos</t>
        </is>
      </c>
      <c r="B204" s="23" t="inlineStr">
        <is>
          <t>Extintor de CO₂ dos dutos</t>
        </is>
      </c>
      <c r="C204" s="23" t="inlineStr">
        <is>
          <t>Segurança</t>
        </is>
      </c>
    </row>
    <row r="205">
      <c r="A205" s="23" t="inlineStr">
        <is>
          <t>co2 da coifa</t>
        </is>
      </c>
      <c r="B205" s="23" t="inlineStr">
        <is>
          <t>Extintor de CO₂ dos dutos</t>
        </is>
      </c>
      <c r="C205" s="23" t="inlineStr">
        <is>
          <t>Segurança</t>
        </is>
      </c>
    </row>
    <row r="206">
      <c r="A206" s="23" t="inlineStr">
        <is>
          <t>co₂ dos dutos</t>
        </is>
      </c>
      <c r="B206" s="23" t="inlineStr">
        <is>
          <t>Extintor de CO₂ dos dutos</t>
        </is>
      </c>
      <c r="C206" s="23" t="inlineStr">
        <is>
          <t>Segurança</t>
        </is>
      </c>
    </row>
    <row r="207">
      <c r="A207" s="23" t="inlineStr">
        <is>
          <t>co₂ da coifa</t>
        </is>
      </c>
      <c r="B207" s="23" t="inlineStr">
        <is>
          <t>Extintor de CO₂ dos dutos</t>
        </is>
      </c>
      <c r="C207" s="23" t="inlineStr">
        <is>
          <t>Segurança</t>
        </is>
      </c>
    </row>
    <row r="208">
      <c r="A208" s="23" t="inlineStr">
        <is>
          <t>saponificante</t>
        </is>
      </c>
      <c r="B208" s="23" t="inlineStr">
        <is>
          <t>Cilindro de saponificante</t>
        </is>
      </c>
      <c r="C208" s="23" t="inlineStr">
        <is>
          <t>Segurança</t>
        </is>
      </c>
    </row>
    <row r="209">
      <c r="A209" s="23" t="inlineStr">
        <is>
          <t>damper</t>
        </is>
      </c>
      <c r="B209" s="23" t="inlineStr">
        <is>
          <t>Sistema saponificante, CO₂ e dampers</t>
        </is>
      </c>
      <c r="C209" s="23" t="inlineStr">
        <is>
          <t>Segurança</t>
        </is>
      </c>
    </row>
    <row r="210">
      <c r="A210" s="23" t="inlineStr">
        <is>
          <t>sistema saponificante</t>
        </is>
      </c>
      <c r="B210" s="23" t="inlineStr">
        <is>
          <t>Sistema saponificante, CO₂ e dampers</t>
        </is>
      </c>
      <c r="C210" s="23" t="inlineStr">
        <is>
          <t>Segurança</t>
        </is>
      </c>
    </row>
    <row r="211">
      <c r="A211" s="23" t="inlineStr">
        <is>
          <t>detector de gás</t>
        </is>
      </c>
      <c r="B211" s="23" t="inlineStr">
        <is>
          <t>Sistema de detecção de gás</t>
        </is>
      </c>
      <c r="C211" s="23" t="inlineStr">
        <is>
          <t>Segurança</t>
        </is>
      </c>
    </row>
    <row r="212">
      <c r="A212" s="23" t="inlineStr">
        <is>
          <t>detector de gas</t>
        </is>
      </c>
      <c r="B212" s="23" t="inlineStr">
        <is>
          <t>Sistema de detecção de gás</t>
        </is>
      </c>
      <c r="C212" s="23" t="inlineStr">
        <is>
          <t>Segurança</t>
        </is>
      </c>
    </row>
    <row r="213">
      <c r="A213" s="23" t="inlineStr">
        <is>
          <t>detecção de gás</t>
        </is>
      </c>
      <c r="B213" s="23" t="inlineStr">
        <is>
          <t>Sistema de detecção de gás</t>
        </is>
      </c>
      <c r="C213" s="23" t="inlineStr">
        <is>
          <t>Segurança</t>
        </is>
      </c>
    </row>
    <row r="214">
      <c r="A214" s="23" t="inlineStr">
        <is>
          <t>deteccao de gas</t>
        </is>
      </c>
      <c r="B214" s="23" t="inlineStr">
        <is>
          <t>Sistema de detecção de gás</t>
        </is>
      </c>
      <c r="C214" s="23" t="inlineStr">
        <is>
          <t>Segurança</t>
        </is>
      </c>
    </row>
    <row r="215">
      <c r="A215" s="23" t="inlineStr">
        <is>
          <t>sensor de gás</t>
        </is>
      </c>
      <c r="B215" s="23" t="inlineStr">
        <is>
          <t>Sistema de detecção de gás</t>
        </is>
      </c>
      <c r="C215" s="23" t="inlineStr">
        <is>
          <t>Segurança</t>
        </is>
      </c>
    </row>
    <row r="216">
      <c r="A216" s="23" t="inlineStr">
        <is>
          <t>sensor de gas</t>
        </is>
      </c>
      <c r="B216" s="23" t="inlineStr">
        <is>
          <t>Sistema de detecção de gás</t>
        </is>
      </c>
      <c r="C216" s="23" t="inlineStr">
        <is>
          <t>Segurança</t>
        </is>
      </c>
    </row>
    <row r="217">
      <c r="A217" s="23" t="inlineStr">
        <is>
          <t>alarme</t>
        </is>
      </c>
      <c r="B217" s="23" t="inlineStr">
        <is>
          <t>Alarme e detectores de fumaça</t>
        </is>
      </c>
      <c r="C217" s="23" t="inlineStr">
        <is>
          <t>Segurança</t>
        </is>
      </c>
    </row>
    <row r="218">
      <c r="A218" s="23" t="inlineStr">
        <is>
          <t>detector de fumaça</t>
        </is>
      </c>
      <c r="B218" s="23" t="inlineStr">
        <is>
          <t>Alarme e detectores de fumaça</t>
        </is>
      </c>
      <c r="C218" s="23" t="inlineStr">
        <is>
          <t>Segurança</t>
        </is>
      </c>
    </row>
    <row r="219">
      <c r="A219" s="23" t="inlineStr">
        <is>
          <t>detector de fumaca</t>
        </is>
      </c>
      <c r="B219" s="23" t="inlineStr">
        <is>
          <t>Alarme e detectores de fumaça</t>
        </is>
      </c>
      <c r="C219" s="23" t="inlineStr">
        <is>
          <t>Segurança</t>
        </is>
      </c>
    </row>
    <row r="220">
      <c r="A220" s="23" t="inlineStr">
        <is>
          <t>fumaça</t>
        </is>
      </c>
      <c r="B220" s="23" t="inlineStr">
        <is>
          <t>Alarme e detectores de fumaça</t>
        </is>
      </c>
      <c r="C220" s="23" t="inlineStr">
        <is>
          <t>Segurança</t>
        </is>
      </c>
    </row>
    <row r="221">
      <c r="A221" s="23" t="inlineStr">
        <is>
          <t>fumaca</t>
        </is>
      </c>
      <c r="B221" s="23" t="inlineStr">
        <is>
          <t>Alarme e detectores de fumaça</t>
        </is>
      </c>
      <c r="C221" s="23" t="inlineStr">
        <is>
          <t>Segurança</t>
        </is>
      </c>
    </row>
    <row r="222">
      <c r="A222" s="23" t="inlineStr">
        <is>
          <t>emergência</t>
        </is>
      </c>
      <c r="B222" s="23" t="inlineStr">
        <is>
          <t>Luminária de emergência</t>
        </is>
      </c>
      <c r="C222" s="23" t="inlineStr">
        <is>
          <t>Segurança</t>
        </is>
      </c>
    </row>
    <row r="223">
      <c r="A223" s="23" t="inlineStr">
        <is>
          <t>emergencia</t>
        </is>
      </c>
      <c r="B223" s="23" t="inlineStr">
        <is>
          <t>Luminária de emergência</t>
        </is>
      </c>
      <c r="C223" s="23" t="inlineStr">
        <is>
          <t>Segurança</t>
        </is>
      </c>
    </row>
    <row r="224">
      <c r="A224" s="23" t="inlineStr">
        <is>
          <t>hidrante</t>
        </is>
      </c>
      <c r="B224" s="23" t="inlineStr">
        <is>
          <t>Mangueira de hidrante</t>
        </is>
      </c>
      <c r="C224" s="23" t="inlineStr">
        <is>
          <t>Segurança</t>
        </is>
      </c>
    </row>
    <row r="225">
      <c r="A225" s="23" t="inlineStr">
        <is>
          <t>bomba de incêndio</t>
        </is>
      </c>
      <c r="B225" s="23" t="inlineStr">
        <is>
          <t>Bomba dos hidrantes</t>
        </is>
      </c>
      <c r="C225" s="23" t="inlineStr">
        <is>
          <t>Segurança</t>
        </is>
      </c>
    </row>
    <row r="226">
      <c r="A226" s="23" t="inlineStr">
        <is>
          <t>bomba de incendio</t>
        </is>
      </c>
      <c r="B226" s="23" t="inlineStr">
        <is>
          <t>Bomba dos hidrantes</t>
        </is>
      </c>
      <c r="C226" s="23" t="inlineStr">
        <is>
          <t>Segurança</t>
        </is>
      </c>
    </row>
    <row r="227">
      <c r="A227" s="23" t="inlineStr">
        <is>
          <t>bomba dos hidrantes</t>
        </is>
      </c>
      <c r="B227" s="23" t="inlineStr">
        <is>
          <t>Bomba dos hidrantes</t>
        </is>
      </c>
      <c r="C227" s="23" t="inlineStr">
        <is>
          <t>Segurança</t>
        </is>
      </c>
    </row>
    <row r="228">
      <c r="A228" s="23" t="inlineStr">
        <is>
          <t>bomba do hidrante</t>
        </is>
      </c>
      <c r="B228" s="23" t="inlineStr">
        <is>
          <t>Bomba dos hidrantes</t>
        </is>
      </c>
      <c r="C228" s="23" t="inlineStr">
        <is>
          <t>Segurança</t>
        </is>
      </c>
    </row>
    <row r="229">
      <c r="A229" s="23" t="inlineStr">
        <is>
          <t>bomba de hidrante</t>
        </is>
      </c>
      <c r="B229" s="23" t="inlineStr">
        <is>
          <t>Bomba dos hidrantes</t>
        </is>
      </c>
      <c r="C229" s="23" t="inlineStr">
        <is>
          <t>Segurança</t>
        </is>
      </c>
    </row>
    <row r="230">
      <c r="A230" s="23" t="inlineStr">
        <is>
          <t>brigada</t>
        </is>
      </c>
      <c r="B230" s="23" t="inlineStr">
        <is>
          <t>Brigada de incêndio</t>
        </is>
      </c>
      <c r="C230" s="23" t="inlineStr">
        <is>
          <t>Segurança</t>
        </is>
      </c>
    </row>
    <row r="231">
      <c r="A231" s="23" t="inlineStr">
        <is>
          <t>gerador</t>
        </is>
      </c>
      <c r="B231" s="23" t="inlineStr">
        <is>
          <t>Gerador</t>
        </is>
      </c>
      <c r="C231" s="23" t="inlineStr">
        <is>
          <t>Elétrica</t>
        </is>
      </c>
    </row>
    <row r="232">
      <c r="A232" s="23" t="inlineStr">
        <is>
          <t>quadro elétrico</t>
        </is>
      </c>
      <c r="B232" s="23" t="inlineStr">
        <is>
          <t>Quadro elétrico</t>
        </is>
      </c>
      <c r="C232" s="23" t="inlineStr">
        <is>
          <t>Elétrica</t>
        </is>
      </c>
    </row>
    <row r="233">
      <c r="A233" s="23" t="inlineStr">
        <is>
          <t>quadro eletrico</t>
        </is>
      </c>
      <c r="B233" s="23" t="inlineStr">
        <is>
          <t>Quadro elétrico</t>
        </is>
      </c>
      <c r="C233" s="23" t="inlineStr">
        <is>
          <t>Elétrica</t>
        </is>
      </c>
    </row>
    <row r="234">
      <c r="A234" s="23" t="inlineStr">
        <is>
          <t>quadro de distribuição</t>
        </is>
      </c>
      <c r="B234" s="23" t="inlineStr">
        <is>
          <t>Quadro elétrico</t>
        </is>
      </c>
      <c r="C234" s="23" t="inlineStr">
        <is>
          <t>Elétrica</t>
        </is>
      </c>
    </row>
    <row r="235">
      <c r="A235" s="23" t="inlineStr">
        <is>
          <t>quadro de distribuicao</t>
        </is>
      </c>
      <c r="B235" s="23" t="inlineStr">
        <is>
          <t>Quadro elétrico</t>
        </is>
      </c>
      <c r="C235" s="23" t="inlineStr">
        <is>
          <t>Elétrica</t>
        </is>
      </c>
    </row>
    <row r="236">
      <c r="A236" s="23" t="inlineStr">
        <is>
          <t>qdc</t>
        </is>
      </c>
      <c r="B236" s="23" t="inlineStr">
        <is>
          <t>Quadro elétrico</t>
        </is>
      </c>
      <c r="C236" s="23" t="inlineStr">
        <is>
          <t>Elétrica</t>
        </is>
      </c>
    </row>
    <row r="237">
      <c r="A237" s="23" t="inlineStr">
        <is>
          <t>quadro de força</t>
        </is>
      </c>
      <c r="B237" s="23" t="inlineStr">
        <is>
          <t>Quadro elétrico</t>
        </is>
      </c>
      <c r="C237" s="23" t="inlineStr">
        <is>
          <t>Elétrica</t>
        </is>
      </c>
    </row>
    <row r="238">
      <c r="A238" s="23" t="inlineStr">
        <is>
          <t>quadro de forca</t>
        </is>
      </c>
      <c r="B238" s="23" t="inlineStr">
        <is>
          <t>Quadro elétrico</t>
        </is>
      </c>
      <c r="C238" s="23" t="inlineStr">
        <is>
          <t>Elétrica</t>
        </is>
      </c>
    </row>
    <row r="239">
      <c r="A239" s="23" t="inlineStr">
        <is>
          <t>quadro geral</t>
        </is>
      </c>
      <c r="B239" s="23" t="inlineStr">
        <is>
          <t>Quadro elétrico</t>
        </is>
      </c>
      <c r="C239" s="23" t="inlineStr">
        <is>
          <t>Elétrica</t>
        </is>
      </c>
    </row>
    <row r="240">
      <c r="A240" s="23" t="inlineStr">
        <is>
          <t>nobreak</t>
        </is>
      </c>
      <c r="B240" s="23" t="inlineStr">
        <is>
          <t>Nobreak (servidor e KDS)</t>
        </is>
      </c>
      <c r="C240" s="23" t="inlineStr">
        <is>
          <t>TI e KDS</t>
        </is>
      </c>
    </row>
    <row r="241">
      <c r="A241" s="23" t="inlineStr">
        <is>
          <t>no-break</t>
        </is>
      </c>
      <c r="B241" s="23" t="inlineStr">
        <is>
          <t>Nobreak (servidor e KDS)</t>
        </is>
      </c>
      <c r="C241" s="23" t="inlineStr">
        <is>
          <t>TI e KDS</t>
        </is>
      </c>
    </row>
    <row r="242">
      <c r="A242" s="23" t="inlineStr">
        <is>
          <t>no break</t>
        </is>
      </c>
      <c r="B242" s="23" t="inlineStr">
        <is>
          <t>Nobreak (servidor e KDS)</t>
        </is>
      </c>
      <c r="C242" s="23" t="inlineStr">
        <is>
          <t>TI e KDS</t>
        </is>
      </c>
    </row>
    <row r="243">
      <c r="A243" s="23" t="inlineStr">
        <is>
          <t>servidor</t>
        </is>
      </c>
      <c r="B243" s="23" t="inlineStr">
        <is>
          <t>Servidor e rack</t>
        </is>
      </c>
      <c r="C243" s="23" t="inlineStr">
        <is>
          <t>TI e KDS</t>
        </is>
      </c>
    </row>
    <row r="244">
      <c r="A244" s="23" t="inlineStr">
        <is>
          <t>rack</t>
        </is>
      </c>
      <c r="B244" s="23" t="inlineStr">
        <is>
          <t>Servidor e rack</t>
        </is>
      </c>
      <c r="C244" s="23" t="inlineStr">
        <is>
          <t>TI e KDS</t>
        </is>
      </c>
    </row>
    <row r="245">
      <c r="A245" s="23" t="inlineStr">
        <is>
          <t>elevador</t>
        </is>
      </c>
      <c r="B245" s="23" t="inlineStr">
        <is>
          <t>Elevador / plataforma</t>
        </is>
      </c>
      <c r="C245" s="23" t="inlineStr">
        <is>
          <t>Predial</t>
        </is>
      </c>
    </row>
    <row r="246">
      <c r="A246" s="23" t="inlineStr">
        <is>
          <t>plataforma</t>
        </is>
      </c>
      <c r="B246" s="23" t="inlineStr">
        <is>
          <t>Elevador / plataforma</t>
        </is>
      </c>
      <c r="C246" s="23" t="inlineStr">
        <is>
          <t>Predial</t>
        </is>
      </c>
    </row>
    <row r="247">
      <c r="A247" s="23" t="inlineStr">
        <is>
          <t>monta-carga</t>
        </is>
      </c>
      <c r="B247" s="23" t="inlineStr">
        <is>
          <t>Elevador / plataforma</t>
        </is>
      </c>
      <c r="C247" s="23" t="inlineStr">
        <is>
          <t>Predial</t>
        </is>
      </c>
    </row>
    <row r="248">
      <c r="A248" s="23" t="inlineStr">
        <is>
          <t>monta carga</t>
        </is>
      </c>
      <c r="B248" s="23" t="inlineStr">
        <is>
          <t>Elevador / plataforma</t>
        </is>
      </c>
      <c r="C248" s="23" t="inlineStr">
        <is>
          <t>Predial</t>
        </is>
      </c>
    </row>
    <row r="249">
      <c r="A249" s="23" t="inlineStr">
        <is>
          <t>divisória</t>
        </is>
      </c>
      <c r="B249" s="23" t="inlineStr">
        <is>
          <t>Divisória acústica</t>
        </is>
      </c>
      <c r="C249" s="23" t="inlineStr">
        <is>
          <t>Predial</t>
        </is>
      </c>
    </row>
    <row r="250">
      <c r="A250" s="23" t="inlineStr">
        <is>
          <t>divisoria</t>
        </is>
      </c>
      <c r="B250" s="23" t="inlineStr">
        <is>
          <t>Divisória acústica</t>
        </is>
      </c>
      <c r="C250" s="23" t="inlineStr">
        <is>
          <t>Predial</t>
        </is>
      </c>
    </row>
    <row r="251">
      <c r="A251" s="24" t="n"/>
      <c r="B251" s="24" t="n"/>
      <c r="C251" s="24" t="n"/>
    </row>
    <row r="252">
      <c r="A252" s="24" t="n"/>
      <c r="B252" s="24" t="n"/>
      <c r="C252" s="24" t="n"/>
    </row>
    <row r="253">
      <c r="A253" s="24" t="n"/>
      <c r="B253" s="24" t="n"/>
      <c r="C253" s="24" t="n"/>
    </row>
    <row r="254">
      <c r="A254" s="24" t="n"/>
      <c r="B254" s="24" t="n"/>
      <c r="C254" s="24" t="n"/>
    </row>
    <row r="255">
      <c r="A255" s="24" t="n"/>
      <c r="B255" s="24" t="n"/>
      <c r="C255" s="24" t="n"/>
    </row>
    <row r="256">
      <c r="A256" s="24" t="n"/>
      <c r="B256" s="24" t="n"/>
      <c r="C256" s="24" t="n"/>
    </row>
    <row r="257">
      <c r="A257" s="24" t="n"/>
      <c r="B257" s="24" t="n"/>
      <c r="C257" s="24" t="n"/>
    </row>
    <row r="258">
      <c r="A258" s="24" t="n"/>
      <c r="B258" s="24" t="n"/>
      <c r="C258" s="24" t="n"/>
    </row>
    <row r="259">
      <c r="A259" s="24" t="n"/>
      <c r="B259" s="24" t="n"/>
      <c r="C259" s="24" t="n"/>
    </row>
    <row r="260">
      <c r="A260" s="24" t="n"/>
      <c r="B260" s="24" t="n"/>
      <c r="C260" s="24" t="n"/>
    </row>
    <row r="261">
      <c r="A261" s="24" t="n"/>
      <c r="B261" s="24" t="n"/>
      <c r="C261" s="24" t="n"/>
    </row>
    <row r="262">
      <c r="A262" s="24" t="n"/>
      <c r="B262" s="24" t="n"/>
      <c r="C262" s="24" t="n"/>
    </row>
    <row r="263">
      <c r="A263" s="24" t="n"/>
      <c r="B263" s="24" t="n"/>
      <c r="C263" s="24" t="n"/>
    </row>
    <row r="264">
      <c r="A264" s="24" t="n"/>
      <c r="B264" s="24" t="n"/>
      <c r="C264" s="24" t="n"/>
    </row>
    <row r="265">
      <c r="A265" s="24" t="n"/>
      <c r="B265" s="24" t="n"/>
      <c r="C265" s="24" t="n"/>
    </row>
    <row r="266">
      <c r="A266" s="24" t="n"/>
      <c r="B266" s="24" t="n"/>
      <c r="C266" s="24" t="n"/>
    </row>
    <row r="267">
      <c r="A267" s="24" t="n"/>
      <c r="B267" s="24" t="n"/>
      <c r="C267" s="24" t="n"/>
    </row>
    <row r="268">
      <c r="A268" s="24" t="n"/>
      <c r="B268" s="24" t="n"/>
      <c r="C268" s="24" t="n"/>
    </row>
    <row r="269">
      <c r="A269" s="24" t="n"/>
      <c r="B269" s="24" t="n"/>
      <c r="C269" s="24" t="n"/>
    </row>
    <row r="270">
      <c r="A270" s="24" t="n"/>
      <c r="B270" s="24" t="n"/>
      <c r="C270" s="24" t="n"/>
    </row>
    <row r="271">
      <c r="A271" s="24" t="n"/>
      <c r="B271" s="24" t="n"/>
      <c r="C271" s="24" t="n"/>
    </row>
    <row r="272">
      <c r="A272" s="24" t="n"/>
      <c r="B272" s="24" t="n"/>
      <c r="C272" s="24" t="n"/>
    </row>
    <row r="273">
      <c r="A273" s="24" t="n"/>
      <c r="B273" s="24" t="n"/>
      <c r="C273" s="24" t="n"/>
    </row>
    <row r="274">
      <c r="A274" s="24" t="n"/>
      <c r="B274" s="24" t="n"/>
      <c r="C274" s="24" t="n"/>
    </row>
    <row r="275">
      <c r="A275" s="24" t="n"/>
      <c r="B275" s="24" t="n"/>
      <c r="C275" s="24" t="n"/>
    </row>
    <row r="276">
      <c r="A276" s="24" t="n"/>
      <c r="B276" s="24" t="n"/>
      <c r="C276" s="24" t="n"/>
    </row>
    <row r="277">
      <c r="A277" s="24" t="n"/>
      <c r="B277" s="24" t="n"/>
      <c r="C277" s="24" t="n"/>
    </row>
    <row r="278">
      <c r="A278" s="24" t="n"/>
      <c r="B278" s="24" t="n"/>
      <c r="C278" s="24" t="n"/>
    </row>
    <row r="279">
      <c r="A279" s="24" t="n"/>
      <c r="B279" s="24" t="n"/>
      <c r="C279" s="24" t="n"/>
    </row>
    <row r="280">
      <c r="A280" s="24" t="n"/>
      <c r="B280" s="24" t="n"/>
      <c r="C280" s="24" t="n"/>
    </row>
    <row r="281">
      <c r="A281" s="24" t="n"/>
      <c r="B281" s="24" t="n"/>
      <c r="C281" s="24" t="n"/>
    </row>
    <row r="282">
      <c r="A282" s="24" t="n"/>
      <c r="B282" s="24" t="n"/>
      <c r="C282" s="24" t="n"/>
    </row>
    <row r="283">
      <c r="A283" s="24" t="n"/>
      <c r="B283" s="24" t="n"/>
      <c r="C283" s="24" t="n"/>
    </row>
    <row r="284">
      <c r="A284" s="24" t="n"/>
      <c r="B284" s="24" t="n"/>
      <c r="C284" s="24" t="n"/>
    </row>
    <row r="285">
      <c r="A285" s="24" t="n"/>
      <c r="B285" s="24" t="n"/>
      <c r="C285" s="24" t="n"/>
    </row>
    <row r="286">
      <c r="A286" s="24" t="n"/>
      <c r="B286" s="24" t="n"/>
      <c r="C286" s="24" t="n"/>
    </row>
    <row r="287">
      <c r="A287" s="24" t="n"/>
      <c r="B287" s="24" t="n"/>
      <c r="C287" s="24" t="n"/>
    </row>
    <row r="288">
      <c r="A288" s="24" t="n"/>
      <c r="B288" s="24" t="n"/>
      <c r="C288" s="24" t="n"/>
    </row>
    <row r="289">
      <c r="A289" s="24" t="n"/>
      <c r="B289" s="24" t="n"/>
      <c r="C289" s="24" t="n"/>
    </row>
    <row r="290">
      <c r="A290" s="24" t="n"/>
      <c r="B290" s="24" t="n"/>
      <c r="C290" s="24" t="n"/>
    </row>
    <row r="291">
      <c r="A291" s="24" t="n"/>
      <c r="B291" s="24" t="n"/>
      <c r="C291" s="24" t="n"/>
    </row>
    <row r="292">
      <c r="A292" s="24" t="n"/>
      <c r="B292" s="24" t="n"/>
      <c r="C292" s="24" t="n"/>
    </row>
    <row r="293">
      <c r="A293" s="24" t="n"/>
      <c r="B293" s="24" t="n"/>
      <c r="C293" s="24" t="n"/>
    </row>
    <row r="294">
      <c r="A294" s="24" t="n"/>
      <c r="B294" s="24" t="n"/>
      <c r="C294" s="24" t="n"/>
    </row>
    <row r="295">
      <c r="A295" s="24" t="n"/>
      <c r="B295" s="24" t="n"/>
      <c r="C295" s="24" t="n"/>
    </row>
    <row r="296">
      <c r="A296" s="24" t="n"/>
      <c r="B296" s="24" t="n"/>
      <c r="C296" s="24" t="n"/>
    </row>
    <row r="297">
      <c r="A297" s="24" t="n"/>
      <c r="B297" s="24" t="n"/>
      <c r="C297" s="24" t="n"/>
    </row>
    <row r="298">
      <c r="A298" s="24" t="n"/>
      <c r="B298" s="24" t="n"/>
      <c r="C298" s="24" t="n"/>
    </row>
    <row r="299">
      <c r="A299" s="24" t="n"/>
      <c r="B299" s="24" t="n"/>
      <c r="C299" s="24" t="n"/>
    </row>
    <row r="300">
      <c r="A300" s="24" t="n"/>
      <c r="B300" s="24" t="n"/>
      <c r="C300" s="24" t="n"/>
    </row>
    <row r="301">
      <c r="A301" s="24" t="n"/>
      <c r="B301" s="24" t="n"/>
      <c r="C301" s="24" t="n"/>
    </row>
    <row r="302">
      <c r="A302" s="24" t="n"/>
      <c r="B302" s="24" t="n"/>
      <c r="C302" s="24" t="n"/>
    </row>
    <row r="303">
      <c r="A303" s="24" t="n"/>
      <c r="B303" s="24" t="n"/>
      <c r="C303" s="24" t="n"/>
    </row>
    <row r="304">
      <c r="A304" s="24" t="n"/>
      <c r="B304" s="24" t="n"/>
      <c r="C304" s="24" t="n"/>
    </row>
    <row r="305">
      <c r="A305" s="24" t="n"/>
      <c r="B305" s="24" t="n"/>
      <c r="C305" s="24" t="n"/>
    </row>
    <row r="306">
      <c r="A306" s="24" t="n"/>
      <c r="B306" s="24" t="n"/>
      <c r="C306" s="24" t="n"/>
    </row>
    <row r="307">
      <c r="A307" s="24" t="n"/>
      <c r="B307" s="24" t="n"/>
      <c r="C307" s="24" t="n"/>
    </row>
    <row r="308">
      <c r="A308" s="24" t="n"/>
      <c r="B308" s="24" t="n"/>
      <c r="C308" s="24" t="n"/>
    </row>
    <row r="309">
      <c r="A309" s="24" t="n"/>
      <c r="B309" s="24" t="n"/>
      <c r="C309" s="24" t="n"/>
    </row>
    <row r="310">
      <c r="A310" s="24" t="n"/>
      <c r="B310" s="24" t="n"/>
      <c r="C310" s="24" t="n"/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0" customWidth="1" min="2" max="2"/>
  </cols>
  <sheetData>
    <row r="1">
      <c r="A1" s="9" t="inlineStr">
        <is>
          <t>Tipos e as preventivas que cada um gera</t>
        </is>
      </c>
    </row>
    <row r="4">
      <c r="A4" s="18" t="inlineStr">
        <is>
          <t>Tipo</t>
        </is>
      </c>
      <c r="B4" s="18" t="inlineStr">
        <is>
          <t>Preventivas</t>
        </is>
      </c>
    </row>
    <row r="5">
      <c r="A5" s="25" t="inlineStr">
        <is>
          <t>Ar-condicionado split (hi-wall)</t>
        </is>
      </c>
      <c r="B5" s="25" t="inlineStr">
        <is>
          <t>Mensal</t>
        </is>
      </c>
    </row>
    <row r="6">
      <c r="A6" s="25" t="inlineStr">
        <is>
          <t>Ar-condicionado split cassete</t>
        </is>
      </c>
      <c r="B6" s="25" t="inlineStr">
        <is>
          <t>Mensal</t>
        </is>
      </c>
    </row>
    <row r="7">
      <c r="A7" s="25" t="inlineStr">
        <is>
          <t>Caixa de ventilação (insuflamento)</t>
        </is>
      </c>
      <c r="B7" s="25" t="inlineStr">
        <is>
          <t>Mensal</t>
        </is>
      </c>
    </row>
    <row r="8">
      <c r="A8" s="25" t="inlineStr">
        <is>
          <t>Ventilador (parede ou coluna)</t>
        </is>
      </c>
      <c r="B8" s="25" t="inlineStr">
        <is>
          <t>Mensal</t>
        </is>
      </c>
    </row>
    <row r="9">
      <c r="A9" s="25" t="inlineStr">
        <is>
          <t>Balcão refrigerado</t>
        </is>
      </c>
      <c r="B9" s="25" t="inlineStr">
        <is>
          <t>Mensal</t>
        </is>
      </c>
    </row>
    <row r="10">
      <c r="A10" s="25" t="inlineStr">
        <is>
          <t>Câmara frigorífica</t>
        </is>
      </c>
      <c r="B10" s="25" t="inlineStr">
        <is>
          <t>Trimestral (terceirizada)</t>
        </is>
      </c>
    </row>
    <row r="11">
      <c r="A11" s="25" t="inlineStr">
        <is>
          <t>Banho-maria</t>
        </is>
      </c>
      <c r="B11" s="25" t="inlineStr">
        <is>
          <t>Mensal</t>
        </is>
      </c>
    </row>
    <row r="12">
      <c r="A12" s="25" t="inlineStr">
        <is>
          <t>Chapa</t>
        </is>
      </c>
      <c r="B12" s="25" t="inlineStr">
        <is>
          <t>Mensal</t>
        </is>
      </c>
    </row>
    <row r="13">
      <c r="A13" s="25" t="inlineStr">
        <is>
          <t>Fogão</t>
        </is>
      </c>
      <c r="B13" s="25" t="inlineStr">
        <is>
          <t>Mensal</t>
        </is>
      </c>
    </row>
    <row r="14">
      <c r="A14" s="25" t="inlineStr">
        <is>
          <t>Fritadeira a gás</t>
        </is>
      </c>
      <c r="B14" s="25" t="inlineStr">
        <is>
          <t>Mensal</t>
        </is>
      </c>
    </row>
    <row r="15">
      <c r="A15" s="25" t="inlineStr">
        <is>
          <t>Fritadeira de batata palha</t>
        </is>
      </c>
      <c r="B15" s="25" t="inlineStr">
        <is>
          <t>Mensal</t>
        </is>
      </c>
    </row>
    <row r="16">
      <c r="A16" s="25" t="inlineStr">
        <is>
          <t>Salamandra</t>
        </is>
      </c>
      <c r="B16" s="25" t="inlineStr">
        <is>
          <t>Mensal</t>
        </is>
      </c>
    </row>
    <row r="17">
      <c r="A17" s="25" t="inlineStr">
        <is>
          <t>Forno combinado Rational</t>
        </is>
      </c>
      <c r="B17" s="25" t="inlineStr">
        <is>
          <t>Mensal</t>
        </is>
      </c>
    </row>
    <row r="18">
      <c r="A18" s="25" t="inlineStr">
        <is>
          <t>Forno combinado Unox</t>
        </is>
      </c>
      <c r="B18" s="25" t="inlineStr">
        <is>
          <t>Mensal</t>
        </is>
      </c>
    </row>
    <row r="19">
      <c r="A19" s="25" t="inlineStr">
        <is>
          <t>Forno Copa Express</t>
        </is>
      </c>
      <c r="B19" s="25" t="inlineStr">
        <is>
          <t>Mensal</t>
        </is>
      </c>
    </row>
    <row r="20">
      <c r="A20" s="25" t="inlineStr">
        <is>
          <t>Forno Miniconv</t>
        </is>
      </c>
      <c r="B20" s="25" t="inlineStr">
        <is>
          <t>Mensal</t>
        </is>
      </c>
    </row>
    <row r="21">
      <c r="A21" s="25" t="inlineStr">
        <is>
          <t>Fritadeira elétrica (churros e sushi)</t>
        </is>
      </c>
      <c r="B21" s="25" t="inlineStr">
        <is>
          <t>Mensal</t>
        </is>
      </c>
    </row>
    <row r="22">
      <c r="A22" s="25" t="inlineStr">
        <is>
          <t>Mantenedor de batata</t>
        </is>
      </c>
      <c r="B22" s="25" t="inlineStr">
        <is>
          <t>Mensal</t>
        </is>
      </c>
    </row>
    <row r="23">
      <c r="A23" s="25" t="inlineStr">
        <is>
          <t>Coifa convencional</t>
        </is>
      </c>
      <c r="B23" s="25" t="inlineStr">
        <is>
          <t>Semanal; semestral (terceirizada)</t>
        </is>
      </c>
    </row>
    <row r="24">
      <c r="A24" s="25" t="inlineStr">
        <is>
          <t>Coifa lavadora</t>
        </is>
      </c>
      <c r="B24" s="25" t="inlineStr">
        <is>
          <t>Semanal; mensal (terceirizada); semestral (terceirizada)</t>
        </is>
      </c>
    </row>
    <row r="25">
      <c r="A25" s="25" t="inlineStr">
        <is>
          <t>Duto de exaustão</t>
        </is>
      </c>
      <c r="B25" s="25" t="inlineStr">
        <is>
          <t>Semestral (terceirizada)</t>
        </is>
      </c>
    </row>
    <row r="26">
      <c r="A26" s="25" t="inlineStr">
        <is>
          <t>Exaustor</t>
        </is>
      </c>
      <c r="B26" s="25" t="inlineStr">
        <is>
          <t>Mensal</t>
        </is>
      </c>
    </row>
    <row r="27">
      <c r="A27" s="25" t="inlineStr">
        <is>
          <t>Máquina de gelo</t>
        </is>
      </c>
      <c r="B27" s="25" t="inlineStr">
        <is>
          <t>Semanal; mensal (terceirizada)</t>
        </is>
      </c>
    </row>
    <row r="28">
      <c r="A28" s="25" t="inlineStr">
        <is>
          <t>Máquina de lavar copos</t>
        </is>
      </c>
      <c r="B28" s="25" t="inlineStr">
        <is>
          <t>Mensal</t>
        </is>
      </c>
    </row>
    <row r="29">
      <c r="A29" s="25" t="inlineStr">
        <is>
          <t>Máquina de lavar pratos</t>
        </is>
      </c>
      <c r="B29" s="25" t="inlineStr">
        <is>
          <t>Mensal</t>
        </is>
      </c>
    </row>
    <row r="30">
      <c r="A30" s="25" t="inlineStr">
        <is>
          <t>Rede de gás</t>
        </is>
      </c>
      <c r="B30" s="25" t="inlineStr">
        <is>
          <t>Semanal</t>
        </is>
      </c>
    </row>
    <row r="31">
      <c r="A31" s="25" t="inlineStr">
        <is>
          <t>Extintor</t>
        </is>
      </c>
      <c r="B31" s="25" t="inlineStr">
        <is>
          <t>Semanal; anual (terceirizada)</t>
        </is>
      </c>
    </row>
    <row r="32">
      <c r="A32" s="25" t="inlineStr">
        <is>
          <t>Cilindro de saponificante</t>
        </is>
      </c>
      <c r="B32" s="25" t="inlineStr">
        <is>
          <t>Semanal; a cada 5 anos (terceirizada)</t>
        </is>
      </c>
    </row>
    <row r="33">
      <c r="A33" s="25" t="inlineStr">
        <is>
          <t>Sistema saponificante, CO₂ e dampers</t>
        </is>
      </c>
      <c r="B33" s="25" t="inlineStr">
        <is>
          <t>Mensal</t>
        </is>
      </c>
    </row>
    <row r="34">
      <c r="A34" s="25" t="inlineStr">
        <is>
          <t>Sistema de detecção de gás</t>
        </is>
      </c>
      <c r="B34" s="25" t="inlineStr">
        <is>
          <t>Mensal</t>
        </is>
      </c>
    </row>
    <row r="35">
      <c r="A35" s="25" t="inlineStr">
        <is>
          <t>Alarme e detectores de fumaça</t>
        </is>
      </c>
      <c r="B35" s="25" t="inlineStr">
        <is>
          <t>Mensal</t>
        </is>
      </c>
    </row>
    <row r="36">
      <c r="A36" s="25" t="inlineStr">
        <is>
          <t>Luminária de emergência</t>
        </is>
      </c>
      <c r="B36" s="25" t="inlineStr">
        <is>
          <t>Mensal</t>
        </is>
      </c>
    </row>
    <row r="37">
      <c r="A37" s="25" t="inlineStr">
        <is>
          <t>Bomba dos hidrantes</t>
        </is>
      </c>
      <c r="B37" s="25" t="inlineStr">
        <is>
          <t>Trimestral</t>
        </is>
      </c>
    </row>
    <row r="38">
      <c r="A38" s="25" t="inlineStr">
        <is>
          <t>Brigada de incêndio</t>
        </is>
      </c>
      <c r="B38" s="25" t="inlineStr">
        <is>
          <t>Quadrimestral (terceirizada)</t>
        </is>
      </c>
    </row>
    <row r="39">
      <c r="A39" s="25" t="inlineStr">
        <is>
          <t>Extintor de CO₂ dos dutos</t>
        </is>
      </c>
      <c r="B39" s="25" t="inlineStr">
        <is>
          <t>Anual (terceirizada)</t>
        </is>
      </c>
    </row>
    <row r="40">
      <c r="A40" s="25" t="inlineStr">
        <is>
          <t>Tubulação de gás</t>
        </is>
      </c>
      <c r="B40" s="25" t="inlineStr">
        <is>
          <t>Anual (terceirizada)</t>
        </is>
      </c>
    </row>
    <row r="41">
      <c r="A41" s="25" t="inlineStr">
        <is>
          <t>Mangueira de hidrante</t>
        </is>
      </c>
      <c r="B41" s="25" t="inlineStr">
        <is>
          <t>Anual (terceirizada)</t>
        </is>
      </c>
    </row>
    <row r="42">
      <c r="A42" s="25" t="inlineStr">
        <is>
          <t>Gerador</t>
        </is>
      </c>
      <c r="B42" s="25" t="inlineStr">
        <is>
          <t>Semanal; mensal; anual (terceirizada)</t>
        </is>
      </c>
    </row>
    <row r="43">
      <c r="A43" s="25" t="inlineStr">
        <is>
          <t>Quadro elétrico</t>
        </is>
      </c>
      <c r="B43" s="25" t="inlineStr">
        <is>
          <t>Semestral</t>
        </is>
      </c>
    </row>
    <row r="44">
      <c r="A44" s="25" t="inlineStr">
        <is>
          <t>Nobreak (servidor e KDS)</t>
        </is>
      </c>
      <c r="B44" s="25" t="inlineStr">
        <is>
          <t>Mensal</t>
        </is>
      </c>
    </row>
    <row r="45">
      <c r="A45" s="25" t="inlineStr">
        <is>
          <t>Servidor e rack</t>
        </is>
      </c>
      <c r="B45" s="25" t="inlineStr">
        <is>
          <t>Anual (terceirizada)</t>
        </is>
      </c>
    </row>
    <row r="46">
      <c r="A46" s="25" t="inlineStr">
        <is>
          <t>Elevador / plataforma</t>
        </is>
      </c>
      <c r="B46" s="25" t="inlineStr">
        <is>
          <t>Mensal (terceirizada)</t>
        </is>
      </c>
    </row>
    <row r="47">
      <c r="A47" s="25" t="inlineStr">
        <is>
          <t>Divisória acústica</t>
        </is>
      </c>
      <c r="B47" s="25" t="inlineStr">
        <is>
          <t>Mensal</t>
        </is>
      </c>
    </row>
    <row r="48">
      <c r="A48" s="25" t="inlineStr">
        <is>
          <t>Mobiliário</t>
        </is>
      </c>
      <c r="B48" s="26" t="inlineStr">
        <is>
          <t>Sem preventiva (só chamados)</t>
        </is>
      </c>
    </row>
    <row r="49">
      <c r="A49" s="25" t="inlineStr">
        <is>
          <t>TI e KDS</t>
        </is>
      </c>
      <c r="B49" s="26" t="inlineStr">
        <is>
          <t>Sem preventiva (só chamados)</t>
        </is>
      </c>
    </row>
    <row r="50">
      <c r="A50" s="25" t="inlineStr">
        <is>
          <t>Predial e estrutura</t>
        </is>
      </c>
      <c r="B50" s="26" t="inlineStr">
        <is>
          <t>Sem preventiva (só chamados)</t>
        </is>
      </c>
    </row>
    <row r="51">
      <c r="A51" s="25" t="inlineStr">
        <is>
          <t>Outro equipamento</t>
        </is>
      </c>
      <c r="B51" s="26" t="inlineStr">
        <is>
          <t>Sem preventiva (só chamados)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2026-10-23T23:11:11Z</dcterms:created>
  <dcterms:modified xmlns:dcterms="http://purl.org/dc/terms/" xmlns:xsi="http://www.w3.org/2001/XMLSchema-instance" xsi:type="dcterms:W3CDTF">2026-10-23T23:11:12Z</dcterms:modified>
</cp:coreProperties>
</file>